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501EA927-D1E6-402D-91AD-95C2C986A3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CHAT 2025                     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4" i="2" l="1"/>
  <c r="D339" i="2"/>
  <c r="D319" i="2"/>
  <c r="D314" i="2"/>
  <c r="D313" i="2"/>
  <c r="C313" i="2"/>
  <c r="C336" i="2" s="1"/>
  <c r="C280" i="2"/>
  <c r="D264" i="2"/>
  <c r="D305" i="2" s="1"/>
  <c r="C271" i="2"/>
  <c r="C270" i="2"/>
  <c r="E266" i="2"/>
  <c r="E267" i="2"/>
  <c r="E265" i="2"/>
  <c r="D258" i="2"/>
  <c r="C258" i="2"/>
  <c r="C264" i="2"/>
  <c r="F255" i="2"/>
  <c r="F258" i="2" s="1"/>
  <c r="E243" i="2"/>
  <c r="E258" i="2" s="1"/>
  <c r="D336" i="2" l="1"/>
  <c r="E313" i="2"/>
  <c r="E337" i="2" s="1"/>
  <c r="E264" i="2"/>
  <c r="C223" i="2"/>
  <c r="D189" i="2" l="1"/>
  <c r="D223" i="2" s="1"/>
  <c r="C187" i="2"/>
  <c r="E187" i="2"/>
  <c r="D187" i="2"/>
  <c r="E189" i="2" l="1"/>
  <c r="E223" i="2" s="1"/>
  <c r="E132" i="2" l="1"/>
  <c r="D132" i="2" l="1"/>
  <c r="C97" i="2" l="1"/>
  <c r="C132" i="2" l="1"/>
  <c r="C23" i="2" l="1"/>
  <c r="C22" i="2"/>
  <c r="D21" i="2"/>
  <c r="C21" i="2" s="1"/>
  <c r="C20" i="2"/>
  <c r="C19" i="2"/>
</calcChain>
</file>

<file path=xl/sharedStrings.xml><?xml version="1.0" encoding="utf-8"?>
<sst xmlns="http://schemas.openxmlformats.org/spreadsheetml/2006/main" count="348" uniqueCount="196">
  <si>
    <t>DATE</t>
  </si>
  <si>
    <t>TVA 19%</t>
  </si>
  <si>
    <t xml:space="preserve">MT TTC </t>
  </si>
  <si>
    <t xml:space="preserve">TOTAL </t>
  </si>
  <si>
    <t xml:space="preserve">FRS </t>
  </si>
  <si>
    <t>MT H T</t>
  </si>
  <si>
    <t xml:space="preserve">CARTHAGE CEMENT </t>
  </si>
  <si>
    <t xml:space="preserve">AVOIR </t>
  </si>
  <si>
    <t xml:space="preserve">TAXE </t>
  </si>
  <si>
    <t xml:space="preserve">OOREDOO </t>
  </si>
  <si>
    <t xml:space="preserve">SOQUIBAT </t>
  </si>
  <si>
    <t xml:space="preserve">COTUD </t>
  </si>
  <si>
    <t xml:space="preserve">TELECOM </t>
  </si>
  <si>
    <t>12/25/2025</t>
  </si>
  <si>
    <t xml:space="preserve">STEG </t>
  </si>
  <si>
    <t>ZORRGAPIECES</t>
  </si>
  <si>
    <t xml:space="preserve">SOTUCEP </t>
  </si>
  <si>
    <t xml:space="preserve">CARREFOUR </t>
  </si>
  <si>
    <t xml:space="preserve">PVL </t>
  </si>
  <si>
    <t>TRANSIT</t>
  </si>
  <si>
    <t xml:space="preserve">TRANSIT </t>
  </si>
  <si>
    <t xml:space="preserve">ASSURANCE </t>
  </si>
  <si>
    <t xml:space="preserve">SAVINO </t>
  </si>
  <si>
    <t>assurance</t>
  </si>
  <si>
    <t>LASERTEKNIC</t>
  </si>
  <si>
    <t>OOREDOO</t>
  </si>
  <si>
    <t>TAXE</t>
  </si>
  <si>
    <t>COTUD</t>
  </si>
  <si>
    <t>TOTAL</t>
  </si>
  <si>
    <t>GAM</t>
  </si>
  <si>
    <t>DOUANE</t>
  </si>
  <si>
    <t>PLYDEX</t>
  </si>
  <si>
    <t>CARTHAGE CEMENT</t>
  </si>
  <si>
    <t>TELECOM</t>
  </si>
  <si>
    <t>IDEAL SERVICE CAR</t>
  </si>
  <si>
    <t>ATTT</t>
  </si>
  <si>
    <t>PVL</t>
  </si>
  <si>
    <t>AM TUNING</t>
  </si>
  <si>
    <t>QIB</t>
  </si>
  <si>
    <t>BRICO</t>
  </si>
  <si>
    <t>SINPAR</t>
  </si>
  <si>
    <t>AB ELEC</t>
  </si>
  <si>
    <t>CARTHAGE CEMENT+AVOIR</t>
  </si>
  <si>
    <t>BHA</t>
  </si>
  <si>
    <t>PRO ASSUR</t>
  </si>
  <si>
    <t xml:space="preserve">BRICO DECO </t>
  </si>
  <si>
    <t>2702/2025</t>
  </si>
  <si>
    <t>ben nasser adel</t>
  </si>
  <si>
    <t>confiance</t>
  </si>
  <si>
    <t>soquibat</t>
  </si>
  <si>
    <t>darouez ali</t>
  </si>
  <si>
    <t>GHARBI INDUSTRIE</t>
  </si>
  <si>
    <t>RCA</t>
  </si>
  <si>
    <t>total</t>
  </si>
  <si>
    <t>STEG</t>
  </si>
  <si>
    <t>SONEDE</t>
  </si>
  <si>
    <t>GLOBAL NET</t>
  </si>
  <si>
    <t>MY TEK</t>
  </si>
  <si>
    <t>HONORAIRE</t>
  </si>
  <si>
    <t>CAC</t>
  </si>
  <si>
    <t>SOQUIBAT</t>
  </si>
  <si>
    <t>AVOIR CARTHAGE CEMENT</t>
  </si>
  <si>
    <t xml:space="preserve">GPRT </t>
  </si>
  <si>
    <t>SMM STE MEC MECANO</t>
  </si>
  <si>
    <t>sinpar</t>
  </si>
  <si>
    <t xml:space="preserve">HATEM GAMMOUDI </t>
  </si>
  <si>
    <t>tax porche</t>
  </si>
  <si>
    <t>SDPL</t>
  </si>
  <si>
    <t xml:space="preserve">CABINET MONGI AOUDI </t>
  </si>
  <si>
    <t xml:space="preserve"> HATEM GAMMOUDI </t>
  </si>
  <si>
    <t xml:space="preserve">  HATEM GAMMOUDI </t>
  </si>
  <si>
    <t xml:space="preserve">SOCIETE GENERAL EQUIPEMENT </t>
  </si>
  <si>
    <t xml:space="preserve"> </t>
  </si>
  <si>
    <t xml:space="preserve">R C A </t>
  </si>
  <si>
    <t xml:space="preserve">TOTAL ENERGIES </t>
  </si>
  <si>
    <t xml:space="preserve">AVRIL </t>
  </si>
  <si>
    <t xml:space="preserve">mrabty fethi (BL) </t>
  </si>
  <si>
    <t xml:space="preserve">CARTE GRISE PORCHE </t>
  </si>
  <si>
    <t>BRICO DECO</t>
  </si>
  <si>
    <t>SOA</t>
  </si>
  <si>
    <t xml:space="preserve">BEN AMOR RIDHA </t>
  </si>
  <si>
    <t>STE SERA</t>
  </si>
  <si>
    <t xml:space="preserve">BIESSA AUTO </t>
  </si>
  <si>
    <t xml:space="preserve">CTEA </t>
  </si>
  <si>
    <t>TOUNSI YOUSSF</t>
  </si>
  <si>
    <t xml:space="preserve">STE ZORRGA PIECE AUTOS </t>
  </si>
  <si>
    <t xml:space="preserve">COMPTOIRE DU PECHEUR </t>
  </si>
  <si>
    <t xml:space="preserve">ATT PEUGEOT </t>
  </si>
  <si>
    <t>OVHCLOUD</t>
  </si>
  <si>
    <t xml:space="preserve">S A R L </t>
  </si>
  <si>
    <t xml:space="preserve">AMRI MOHSEN TOURNEUR </t>
  </si>
  <si>
    <t>SAFMECA</t>
  </si>
  <si>
    <t>tax</t>
  </si>
  <si>
    <t>sta chery</t>
  </si>
  <si>
    <t>secom</t>
  </si>
  <si>
    <t>SIMOP</t>
  </si>
  <si>
    <t>Tunisianet</t>
  </si>
  <si>
    <t xml:space="preserve">STE ZORRAGA AUTO </t>
  </si>
  <si>
    <t>PBC</t>
  </si>
  <si>
    <t xml:space="preserve">AVOIR CARTHAGE CEMENT </t>
  </si>
  <si>
    <t>S.D.P.L</t>
  </si>
  <si>
    <t>BMC</t>
  </si>
  <si>
    <t>PLACOPLAST</t>
  </si>
  <si>
    <t xml:space="preserve">TOURNEUR </t>
  </si>
  <si>
    <t>vignette chery</t>
  </si>
  <si>
    <t>att partner 1</t>
  </si>
  <si>
    <t>attt partner 2</t>
  </si>
  <si>
    <t>ovh cloud</t>
  </si>
  <si>
    <t>attt scania</t>
  </si>
  <si>
    <t>ooredoo</t>
  </si>
  <si>
    <t xml:space="preserve">maison d'inox </t>
  </si>
  <si>
    <t>TOTAL ENERGIES</t>
  </si>
  <si>
    <t>cotud achref cherif</t>
  </si>
  <si>
    <t xml:space="preserve">T M M R </t>
  </si>
  <si>
    <t xml:space="preserve">COTUD ACHRAF CHERIF  </t>
  </si>
  <si>
    <t>MAISON D'INOX</t>
  </si>
  <si>
    <t>STE COTEC</t>
  </si>
  <si>
    <t>ste de promotion des industries metalliques</t>
  </si>
  <si>
    <t xml:space="preserve">societe espace audit et conseils sarl </t>
  </si>
  <si>
    <t xml:space="preserve">cotud </t>
  </si>
  <si>
    <t>cotude</t>
  </si>
  <si>
    <t>modern cold service</t>
  </si>
  <si>
    <t>meskini suarl</t>
  </si>
  <si>
    <t>steg</t>
  </si>
  <si>
    <t>general piece auto</t>
  </si>
  <si>
    <t>MTT</t>
  </si>
  <si>
    <t>STE BARAKA METAL</t>
  </si>
  <si>
    <t>MAISION D'INOX</t>
  </si>
  <si>
    <t>C,P,A,C</t>
  </si>
  <si>
    <t xml:space="preserve">MAISON INoX </t>
  </si>
  <si>
    <t>taxes camion</t>
  </si>
  <si>
    <t>ISOLMAX</t>
  </si>
  <si>
    <t>Visite Toyota</t>
  </si>
  <si>
    <t>HAMMOUDI SOUHIR QIB</t>
  </si>
  <si>
    <t>chq annule</t>
  </si>
  <si>
    <t>Metal-Lux</t>
  </si>
  <si>
    <t>avoir carthage cement</t>
  </si>
  <si>
    <t>COTUD ACHREF CHERIF</t>
  </si>
  <si>
    <t>GRAND GARAGE</t>
  </si>
  <si>
    <t>OOREDOO MAI</t>
  </si>
  <si>
    <t>OOREDOO CARTE</t>
  </si>
  <si>
    <t>Ben amor ridha</t>
  </si>
  <si>
    <t>STAQ</t>
  </si>
  <si>
    <t>MIPS</t>
  </si>
  <si>
    <t>SBS</t>
  </si>
  <si>
    <t>CABINET MONGI AOUADI</t>
  </si>
  <si>
    <t>JANVIER 2025</t>
  </si>
  <si>
    <t>FEVRIER 2025</t>
  </si>
  <si>
    <t>MAI 2025</t>
  </si>
  <si>
    <t>RS 3%</t>
  </si>
  <si>
    <t>Juin 2025</t>
  </si>
  <si>
    <t>MARS 2025</t>
  </si>
  <si>
    <t>YAKIN PNEU</t>
  </si>
  <si>
    <t xml:space="preserve"> BISSEL</t>
  </si>
  <si>
    <t xml:space="preserve">TOTAL 6 </t>
  </si>
  <si>
    <t>SOUSSI TRANSIT</t>
  </si>
  <si>
    <t>TVA BANQUE</t>
  </si>
  <si>
    <t>TAXES CAMION</t>
  </si>
  <si>
    <t>TUNISIA NET</t>
  </si>
  <si>
    <t>MYTEK</t>
  </si>
  <si>
    <t>TELECOM FIXE</t>
  </si>
  <si>
    <t>TELCOM FAX</t>
  </si>
  <si>
    <t>13/017/25</t>
  </si>
  <si>
    <t>GHARBIE INDUSTRIE</t>
  </si>
  <si>
    <t>ACHREF CHERIF</t>
  </si>
  <si>
    <t>MAISON DE L ENERGIE</t>
  </si>
  <si>
    <t>TUNISIA SMART INNOVATION</t>
  </si>
  <si>
    <t xml:space="preserve">BMC </t>
  </si>
  <si>
    <t>AEBELEC</t>
  </si>
  <si>
    <t>CONTINENTAL ALU CORP</t>
  </si>
  <si>
    <t>STE ENNAJEH DECORS</t>
  </si>
  <si>
    <t>TOTAL 7</t>
  </si>
  <si>
    <t>AOUT 2025</t>
  </si>
  <si>
    <t>JMS</t>
  </si>
  <si>
    <t xml:space="preserve">QIB </t>
  </si>
  <si>
    <t>QUITTANCE TAXE  AOUT</t>
  </si>
  <si>
    <t>QIB HAMMOUDI SOUHIR</t>
  </si>
  <si>
    <t>COTUD ACHAF CHERIF</t>
  </si>
  <si>
    <t>COTEC</t>
  </si>
  <si>
    <t>RETENUE SBS FACTURE 92-2024</t>
  </si>
  <si>
    <t>JMS  FLEXIBLES</t>
  </si>
  <si>
    <t>SODELEC</t>
  </si>
  <si>
    <t>COTUD ACHRAF CHERIF</t>
  </si>
  <si>
    <t>QUINCAILLERIE AYMEN</t>
  </si>
  <si>
    <t>QUICAILLERIE AYMEN</t>
  </si>
  <si>
    <t>NTPE</t>
  </si>
  <si>
    <t>QUINPRO</t>
  </si>
  <si>
    <t>Tunis telecom</t>
  </si>
  <si>
    <t>EEI</t>
  </si>
  <si>
    <t>03/09/205</t>
  </si>
  <si>
    <t>02/09/025</t>
  </si>
  <si>
    <t>ABELEC</t>
  </si>
  <si>
    <t xml:space="preserve">STGE TRAITEMENT </t>
  </si>
  <si>
    <t xml:space="preserve">STE MONDIAL FILTRE </t>
  </si>
  <si>
    <t>CPAC</t>
  </si>
  <si>
    <t>GENERAL PIECES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</si>
</sst>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0.000"/>
    <numFmt numFmtId="167" formatCode="_-* #,##0.000\ _€_-;\-* #,##0.000\ _€_-;_-* &quot;-&quot;??\ _€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28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2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164" fontId="9" fillId="0" borderId="0" applyFont="0" applyFill="0" applyBorder="0" applyAlignment="0" applyProtection="0"/>
  </cellStyleXfs>
  <cellXfs count="130">
    <xf numFmtId="0" fontId="0" fillId="0" borderId="0" xfId="0"/>
    <xf numFmtId="14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1" fillId="6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1" fillId="8" borderId="1" xfId="0" applyNumberFormat="1" applyFont="1" applyFill="1" applyBorder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4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14" fontId="4" fillId="9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6" fillId="9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165" fontId="6" fillId="9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6" fillId="10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165" fontId="6" fillId="10" borderId="1" xfId="0" applyNumberFormat="1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14" fontId="8" fillId="9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65" fontId="0" fillId="11" borderId="1" xfId="0" applyNumberFormat="1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4" fontId="4" fillId="3" borderId="3" xfId="0" applyNumberFormat="1" applyFont="1" applyFill="1" applyBorder="1" applyAlignment="1">
      <alignment horizontal="center" vertical="center"/>
    </xf>
    <xf numFmtId="14" fontId="4" fillId="3" borderId="5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65" fontId="0" fillId="10" borderId="1" xfId="0" applyNumberFormat="1" applyFill="1" applyBorder="1" applyAlignment="1">
      <alignment horizontal="center" vertical="center"/>
    </xf>
    <xf numFmtId="14" fontId="0" fillId="11" borderId="2" xfId="0" applyNumberForma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165" fontId="0" fillId="11" borderId="2" xfId="0" applyNumberFormat="1" applyFill="1" applyBorder="1" applyAlignment="1">
      <alignment horizontal="center" vertical="center"/>
    </xf>
    <xf numFmtId="167" fontId="0" fillId="11" borderId="2" xfId="1" applyNumberFormat="1" applyFont="1" applyFill="1" applyBorder="1" applyAlignment="1">
      <alignment horizontal="center" vertical="center"/>
    </xf>
    <xf numFmtId="14" fontId="10" fillId="11" borderId="1" xfId="0" applyNumberFormat="1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165" fontId="10" fillId="11" borderId="1" xfId="0" applyNumberFormat="1" applyFont="1" applyFill="1" applyBorder="1" applyAlignment="1">
      <alignment horizontal="center" vertical="center"/>
    </xf>
    <xf numFmtId="14" fontId="4" fillId="11" borderId="3" xfId="0" applyNumberFormat="1" applyFont="1" applyFill="1" applyBorder="1" applyAlignment="1">
      <alignment horizontal="center" vertical="center"/>
    </xf>
    <xf numFmtId="14" fontId="4" fillId="11" borderId="5" xfId="0" applyNumberFormat="1" applyFont="1" applyFill="1" applyBorder="1" applyAlignment="1">
      <alignment horizontal="center" vertical="center"/>
    </xf>
    <xf numFmtId="165" fontId="4" fillId="11" borderId="1" xfId="0" applyNumberFormat="1" applyFont="1" applyFill="1" applyBorder="1" applyAlignment="1">
      <alignment horizontal="center" vertical="center"/>
    </xf>
    <xf numFmtId="14" fontId="7" fillId="11" borderId="1" xfId="0" applyNumberFormat="1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165" fontId="7" fillId="11" borderId="1" xfId="0" applyNumberFormat="1" applyFont="1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/>
    </xf>
    <xf numFmtId="165" fontId="0" fillId="11" borderId="1" xfId="0" applyNumberFormat="1" applyFill="1" applyBorder="1" applyAlignment="1">
      <alignment horizontal="center"/>
    </xf>
    <xf numFmtId="14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165" fontId="0" fillId="13" borderId="1" xfId="0" applyNumberFormat="1" applyFill="1" applyBorder="1" applyAlignment="1">
      <alignment horizontal="center" vertical="center"/>
    </xf>
    <xf numFmtId="165" fontId="13" fillId="14" borderId="12" xfId="0" applyNumberFormat="1" applyFont="1" applyFill="1" applyBorder="1" applyAlignment="1">
      <alignment horizontal="center" vertical="center"/>
    </xf>
    <xf numFmtId="14" fontId="0" fillId="10" borderId="2" xfId="0" applyNumberForma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165" fontId="0" fillId="10" borderId="2" xfId="0" applyNumberFormat="1" applyFill="1" applyBorder="1" applyAlignment="1">
      <alignment horizontal="center" vertical="center"/>
    </xf>
    <xf numFmtId="0" fontId="13" fillId="14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10" fillId="10" borderId="1" xfId="0" applyNumberFormat="1" applyFont="1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165" fontId="10" fillId="10" borderId="2" xfId="0" applyNumberFormat="1" applyFont="1" applyFill="1" applyBorder="1" applyAlignment="1">
      <alignment horizontal="center" vertical="center"/>
    </xf>
    <xf numFmtId="14" fontId="14" fillId="10" borderId="1" xfId="0" applyNumberFormat="1" applyFont="1" applyFill="1" applyBorder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14" fontId="14" fillId="10" borderId="2" xfId="0" applyNumberFormat="1" applyFont="1" applyFill="1" applyBorder="1" applyAlignment="1">
      <alignment horizontal="center" vertical="center"/>
    </xf>
    <xf numFmtId="165" fontId="14" fillId="10" borderId="2" xfId="0" applyNumberFormat="1" applyFont="1" applyFill="1" applyBorder="1" applyAlignment="1">
      <alignment horizontal="center" vertical="center"/>
    </xf>
    <xf numFmtId="14" fontId="3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165" fontId="3" fillId="9" borderId="1" xfId="0" applyNumberFormat="1" applyFont="1" applyFill="1" applyBorder="1" applyAlignment="1">
      <alignment horizontal="center" vertical="center"/>
    </xf>
    <xf numFmtId="165" fontId="14" fillId="15" borderId="1" xfId="0" applyNumberFormat="1" applyFont="1" applyFill="1" applyBorder="1" applyAlignment="1">
      <alignment horizontal="center" vertical="center"/>
    </xf>
    <xf numFmtId="165" fontId="14" fillId="15" borderId="2" xfId="0" applyNumberFormat="1" applyFont="1" applyFill="1" applyBorder="1" applyAlignment="1">
      <alignment horizontal="center" vertical="center"/>
    </xf>
    <xf numFmtId="165" fontId="10" fillId="15" borderId="2" xfId="0" applyNumberFormat="1" applyFont="1" applyFill="1" applyBorder="1" applyAlignment="1">
      <alignment horizontal="center" vertical="center"/>
    </xf>
    <xf numFmtId="165" fontId="10" fillId="15" borderId="1" xfId="0" applyNumberFormat="1" applyFont="1" applyFill="1" applyBorder="1" applyAlignment="1">
      <alignment horizontal="center" vertical="center"/>
    </xf>
    <xf numFmtId="165" fontId="18" fillId="15" borderId="1" xfId="0" applyNumberFormat="1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5" fontId="10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2" fontId="14" fillId="10" borderId="1" xfId="0" applyNumberFormat="1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2" fontId="14" fillId="10" borderId="2" xfId="0" applyNumberFormat="1" applyFont="1" applyFill="1" applyBorder="1" applyAlignment="1">
      <alignment horizontal="center" vertical="center"/>
    </xf>
    <xf numFmtId="17" fontId="16" fillId="12" borderId="15" xfId="0" applyNumberFormat="1" applyFont="1" applyFill="1" applyBorder="1" applyAlignment="1">
      <alignment horizontal="center" vertical="center"/>
    </xf>
    <xf numFmtId="17" fontId="16" fillId="12" borderId="14" xfId="0" applyNumberFormat="1" applyFont="1" applyFill="1" applyBorder="1" applyAlignment="1">
      <alignment horizontal="center" vertical="center"/>
    </xf>
    <xf numFmtId="17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" fontId="2" fillId="4" borderId="3" xfId="0" applyNumberFormat="1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14" fontId="2" fillId="2" borderId="9" xfId="0" applyNumberFormat="1" applyFont="1" applyFill="1" applyBorder="1" applyAlignment="1">
      <alignment horizontal="center" vertical="center"/>
    </xf>
    <xf numFmtId="14" fontId="2" fillId="2" borderId="10" xfId="0" applyNumberFormat="1" applyFont="1" applyFill="1" applyBorder="1" applyAlignment="1">
      <alignment horizontal="center" vertical="center"/>
    </xf>
    <xf numFmtId="14" fontId="4" fillId="3" borderId="3" xfId="0" applyNumberFormat="1" applyFont="1" applyFill="1" applyBorder="1" applyAlignment="1">
      <alignment horizontal="center" vertical="center"/>
    </xf>
    <xf numFmtId="14" fontId="4" fillId="3" borderId="5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17" fontId="16" fillId="12" borderId="7" xfId="0" applyNumberFormat="1" applyFont="1" applyFill="1" applyBorder="1" applyAlignment="1">
      <alignment horizontal="center" vertical="center"/>
    </xf>
    <xf numFmtId="0" fontId="16" fillId="12" borderId="8" xfId="0" applyFont="1" applyFill="1" applyBorder="1" applyAlignment="1">
      <alignment horizontal="center" vertical="center"/>
    </xf>
    <xf numFmtId="17" fontId="12" fillId="12" borderId="3" xfId="0" applyNumberFormat="1" applyFont="1" applyFill="1" applyBorder="1" applyAlignment="1">
      <alignment horizontal="center" vertical="center"/>
    </xf>
    <xf numFmtId="0" fontId="12" fillId="12" borderId="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BSY364"/>
  <sheetViews>
    <sheetView tabSelected="1" zoomScale="95" zoomScaleNormal="95" workbookViewId="0">
      <selection activeCell="D23" sqref="D23"/>
    </sheetView>
  </sheetViews>
  <sheetFormatPr defaultColWidth="11.42578125" defaultRowHeight="15" x14ac:dyDescent="0.25"/>
  <cols>
    <col min="1" max="1" width="17.140625" style="21" customWidth="1"/>
    <col min="2" max="2" width="41.28515625" style="4" customWidth="1"/>
    <col min="3" max="3" width="21.85546875" style="11" customWidth="1"/>
    <col min="4" max="4" width="27" style="11" customWidth="1"/>
    <col min="5" max="5" width="30.140625" style="11" customWidth="1"/>
    <col min="6" max="16384" width="11.42578125" style="4"/>
  </cols>
  <sheetData>
    <row r="1" spans="1:12" ht="31.5" customHeight="1" x14ac:dyDescent="0.25">
      <c r="A1" s="1" t="s">
        <v>0</v>
      </c>
      <c r="B1" s="2" t="s">
        <v>4</v>
      </c>
      <c r="C1" s="3" t="s">
        <v>5</v>
      </c>
      <c r="D1" s="3" t="s">
        <v>1</v>
      </c>
      <c r="E1" s="3" t="s">
        <v>2</v>
      </c>
    </row>
    <row r="2" spans="1:12" ht="30.75" customHeight="1" x14ac:dyDescent="0.45">
      <c r="A2" s="116" t="s">
        <v>146</v>
      </c>
      <c r="B2" s="117"/>
      <c r="C2" s="117"/>
      <c r="D2" s="117"/>
      <c r="E2" s="117"/>
    </row>
    <row r="3" spans="1:12" ht="15.75" x14ac:dyDescent="0.25">
      <c r="A3" s="15"/>
      <c r="B3" s="16"/>
      <c r="C3" s="17"/>
      <c r="D3" s="17"/>
      <c r="E3" s="5"/>
      <c r="J3" s="6"/>
      <c r="L3" s="7"/>
    </row>
    <row r="4" spans="1:12" ht="15.75" x14ac:dyDescent="0.25">
      <c r="A4" s="15"/>
      <c r="B4" s="16"/>
      <c r="C4" s="17"/>
      <c r="D4" s="17"/>
      <c r="E4" s="8"/>
      <c r="J4" s="6"/>
      <c r="L4" s="7"/>
    </row>
    <row r="5" spans="1:12" ht="15.75" x14ac:dyDescent="0.25">
      <c r="A5" s="15"/>
      <c r="B5" s="16"/>
      <c r="C5" s="17"/>
      <c r="D5" s="17"/>
      <c r="E5" s="8"/>
      <c r="J5" s="6"/>
      <c r="L5" s="7"/>
    </row>
    <row r="6" spans="1:12" ht="15.75" x14ac:dyDescent="0.25">
      <c r="A6" s="15">
        <v>45663</v>
      </c>
      <c r="B6" s="16" t="s">
        <v>8</v>
      </c>
      <c r="C6" s="17">
        <v>336</v>
      </c>
      <c r="D6" s="17">
        <v>24</v>
      </c>
      <c r="E6" s="5">
        <v>360</v>
      </c>
      <c r="J6" s="7"/>
      <c r="L6" s="7"/>
    </row>
    <row r="7" spans="1:12" ht="15.75" x14ac:dyDescent="0.25">
      <c r="A7" s="15">
        <v>45663</v>
      </c>
      <c r="B7" s="16" t="s">
        <v>8</v>
      </c>
      <c r="C7" s="17">
        <v>186</v>
      </c>
      <c r="D7" s="17">
        <v>12</v>
      </c>
      <c r="E7" s="5">
        <v>180</v>
      </c>
      <c r="J7" s="7"/>
      <c r="L7" s="7"/>
    </row>
    <row r="8" spans="1:12" ht="15.75" x14ac:dyDescent="0.25">
      <c r="A8" s="15">
        <v>45663</v>
      </c>
      <c r="B8" s="16" t="s">
        <v>8</v>
      </c>
      <c r="C8" s="17">
        <v>186</v>
      </c>
      <c r="D8" s="17">
        <v>12</v>
      </c>
      <c r="E8" s="5">
        <v>180</v>
      </c>
      <c r="J8" s="7"/>
      <c r="L8" s="7"/>
    </row>
    <row r="9" spans="1:12" ht="15.75" x14ac:dyDescent="0.25">
      <c r="A9" s="15">
        <v>45663</v>
      </c>
      <c r="B9" s="16" t="s">
        <v>8</v>
      </c>
      <c r="C9" s="17">
        <v>224</v>
      </c>
      <c r="D9" s="17">
        <v>16</v>
      </c>
      <c r="E9" s="5">
        <v>240</v>
      </c>
      <c r="J9" s="7"/>
      <c r="L9" s="7"/>
    </row>
    <row r="10" spans="1:12" ht="15.75" x14ac:dyDescent="0.25">
      <c r="A10" s="15">
        <v>45663</v>
      </c>
      <c r="B10" s="16" t="s">
        <v>8</v>
      </c>
      <c r="C10" s="17">
        <v>186</v>
      </c>
      <c r="D10" s="17">
        <v>12</v>
      </c>
      <c r="E10" s="5">
        <v>180</v>
      </c>
      <c r="J10" s="7"/>
      <c r="L10" s="7"/>
    </row>
    <row r="11" spans="1:12" ht="15.75" x14ac:dyDescent="0.25">
      <c r="A11" s="15">
        <v>45663</v>
      </c>
      <c r="B11" s="16" t="s">
        <v>8</v>
      </c>
      <c r="C11" s="17">
        <v>186</v>
      </c>
      <c r="D11" s="17">
        <v>12</v>
      </c>
      <c r="E11" s="5">
        <v>180</v>
      </c>
      <c r="J11" s="7"/>
      <c r="L11" s="7"/>
    </row>
    <row r="12" spans="1:12" ht="15.75" x14ac:dyDescent="0.25">
      <c r="A12" s="15">
        <v>45663</v>
      </c>
      <c r="B12" s="16" t="s">
        <v>8</v>
      </c>
      <c r="C12" s="17">
        <v>224</v>
      </c>
      <c r="D12" s="17">
        <v>16</v>
      </c>
      <c r="E12" s="5">
        <v>240</v>
      </c>
      <c r="J12" s="7"/>
      <c r="L12" s="7"/>
    </row>
    <row r="13" spans="1:12" ht="15.75" x14ac:dyDescent="0.25">
      <c r="A13" s="15">
        <v>45663</v>
      </c>
      <c r="B13" s="16" t="s">
        <v>8</v>
      </c>
      <c r="C13" s="17">
        <v>130</v>
      </c>
      <c r="D13" s="17"/>
      <c r="E13" s="5">
        <v>130</v>
      </c>
      <c r="J13" s="7"/>
      <c r="L13" s="7"/>
    </row>
    <row r="14" spans="1:12" ht="15.75" x14ac:dyDescent="0.25">
      <c r="A14" s="15">
        <v>45663</v>
      </c>
      <c r="B14" s="16" t="s">
        <v>8</v>
      </c>
      <c r="C14" s="17">
        <v>360</v>
      </c>
      <c r="D14" s="17"/>
      <c r="E14" s="5">
        <v>585</v>
      </c>
      <c r="J14" s="7"/>
      <c r="L14" s="7"/>
    </row>
    <row r="15" spans="1:12" ht="15.75" x14ac:dyDescent="0.25">
      <c r="A15" s="15">
        <v>45663</v>
      </c>
      <c r="B15" s="16" t="s">
        <v>8</v>
      </c>
      <c r="C15" s="17">
        <v>2800</v>
      </c>
      <c r="D15" s="17"/>
      <c r="E15" s="5">
        <v>3025</v>
      </c>
      <c r="J15" s="7"/>
      <c r="L15" s="7"/>
    </row>
    <row r="16" spans="1:12" ht="15.75" x14ac:dyDescent="0.25">
      <c r="A16" s="15">
        <v>45663</v>
      </c>
      <c r="B16" s="16" t="s">
        <v>9</v>
      </c>
      <c r="C16" s="17">
        <v>80.703999999999994</v>
      </c>
      <c r="D16" s="17"/>
      <c r="E16" s="5">
        <v>80.703999999999994</v>
      </c>
      <c r="J16" s="6"/>
      <c r="L16" s="7"/>
    </row>
    <row r="17" spans="1:12" ht="15.75" x14ac:dyDescent="0.25">
      <c r="A17" s="15">
        <v>45659</v>
      </c>
      <c r="B17" s="16" t="s">
        <v>10</v>
      </c>
      <c r="C17" s="17">
        <v>2.5289999999999999</v>
      </c>
      <c r="D17" s="17">
        <v>0.48099999999999998</v>
      </c>
      <c r="E17" s="9">
        <v>4.01</v>
      </c>
      <c r="J17" s="7"/>
      <c r="L17" s="7"/>
    </row>
    <row r="18" spans="1:12" ht="15.75" x14ac:dyDescent="0.25">
      <c r="A18" s="15">
        <v>45664</v>
      </c>
      <c r="B18" s="16" t="s">
        <v>11</v>
      </c>
      <c r="C18" s="17">
        <v>6.7240000000000002</v>
      </c>
      <c r="D18" s="17">
        <v>1.278</v>
      </c>
      <c r="E18" s="9">
        <v>9.0020000000000007</v>
      </c>
      <c r="J18" s="6"/>
      <c r="L18" s="7"/>
    </row>
    <row r="19" spans="1:12" ht="15.75" x14ac:dyDescent="0.25">
      <c r="A19" s="15">
        <v>45658</v>
      </c>
      <c r="B19" s="16" t="s">
        <v>12</v>
      </c>
      <c r="C19" s="17">
        <f>+E19-D19-1</f>
        <v>89.570999999999998</v>
      </c>
      <c r="D19" s="17">
        <v>15.409000000000001</v>
      </c>
      <c r="E19" s="5">
        <v>105.98</v>
      </c>
      <c r="J19" s="6"/>
      <c r="L19" s="7"/>
    </row>
    <row r="20" spans="1:12" ht="15.75" x14ac:dyDescent="0.25">
      <c r="A20" s="15">
        <v>45658</v>
      </c>
      <c r="B20" s="16" t="s">
        <v>12</v>
      </c>
      <c r="C20" s="17">
        <f>+E20-D20-1</f>
        <v>61.21</v>
      </c>
      <c r="D20" s="17">
        <v>10.79</v>
      </c>
      <c r="E20" s="5">
        <v>73</v>
      </c>
      <c r="J20" s="7"/>
      <c r="L20" s="7"/>
    </row>
    <row r="21" spans="1:12" ht="15.75" x14ac:dyDescent="0.25">
      <c r="A21" s="15">
        <v>45658</v>
      </c>
      <c r="B21" s="16" t="s">
        <v>12</v>
      </c>
      <c r="C21" s="17">
        <f>+E21-D21-1</f>
        <v>37.942</v>
      </c>
      <c r="D21" s="17">
        <f>1.437+2.126</f>
        <v>3.5629999999999997</v>
      </c>
      <c r="E21" s="5">
        <v>42.505000000000003</v>
      </c>
      <c r="J21" s="6"/>
      <c r="L21" s="7"/>
    </row>
    <row r="22" spans="1:12" ht="15.75" x14ac:dyDescent="0.25">
      <c r="A22" s="15" t="s">
        <v>13</v>
      </c>
      <c r="B22" s="16" t="s">
        <v>14</v>
      </c>
      <c r="C22" s="17">
        <f>+E22-D22</f>
        <v>83.173000000000002</v>
      </c>
      <c r="D22" s="17">
        <v>15.827</v>
      </c>
      <c r="E22" s="5">
        <v>99</v>
      </c>
      <c r="J22" s="7"/>
      <c r="L22" s="7"/>
    </row>
    <row r="23" spans="1:12" ht="15.75" x14ac:dyDescent="0.25">
      <c r="A23" s="15" t="s">
        <v>13</v>
      </c>
      <c r="B23" s="16" t="s">
        <v>14</v>
      </c>
      <c r="C23" s="17">
        <f>+E23-D23</f>
        <v>173.405</v>
      </c>
      <c r="D23" s="17">
        <v>26.594999999999999</v>
      </c>
      <c r="E23" s="5">
        <v>200</v>
      </c>
      <c r="J23" s="7"/>
      <c r="L23" s="7"/>
    </row>
    <row r="24" spans="1:12" ht="15.75" x14ac:dyDescent="0.25">
      <c r="A24" s="15">
        <v>45680</v>
      </c>
      <c r="B24" s="16" t="s">
        <v>15</v>
      </c>
      <c r="C24" s="17">
        <v>126.9</v>
      </c>
      <c r="D24" s="17">
        <v>24.111000000000001</v>
      </c>
      <c r="E24" s="9">
        <v>152.011</v>
      </c>
      <c r="J24" s="6"/>
      <c r="L24" s="7"/>
    </row>
    <row r="25" spans="1:12" ht="15.75" x14ac:dyDescent="0.25">
      <c r="A25" s="15">
        <v>45678</v>
      </c>
      <c r="B25" s="16" t="s">
        <v>16</v>
      </c>
      <c r="C25" s="17">
        <v>204.535</v>
      </c>
      <c r="D25" s="17">
        <v>38.862000000000002</v>
      </c>
      <c r="E25" s="9">
        <v>244.39699999999999</v>
      </c>
      <c r="J25" s="6"/>
      <c r="L25" s="7"/>
    </row>
    <row r="26" spans="1:12" ht="15.75" x14ac:dyDescent="0.25">
      <c r="A26" s="15">
        <v>45677</v>
      </c>
      <c r="B26" s="16" t="s">
        <v>17</v>
      </c>
      <c r="C26" s="17">
        <v>134.45400000000001</v>
      </c>
      <c r="D26" s="17">
        <v>25.545999999999999</v>
      </c>
      <c r="E26" s="5">
        <v>161</v>
      </c>
      <c r="J26" s="6"/>
      <c r="L26" s="7"/>
    </row>
    <row r="27" spans="1:12" ht="15.75" x14ac:dyDescent="0.25">
      <c r="A27" s="15">
        <v>45675</v>
      </c>
      <c r="B27" s="16" t="s">
        <v>18</v>
      </c>
      <c r="C27" s="17">
        <v>49.802999999999997</v>
      </c>
      <c r="D27" s="17">
        <v>9.4629999999999992</v>
      </c>
      <c r="E27" s="9">
        <v>60.265999999999998</v>
      </c>
      <c r="J27" s="6"/>
      <c r="L27" s="7"/>
    </row>
    <row r="28" spans="1:12" ht="15.75" x14ac:dyDescent="0.25">
      <c r="A28" s="15">
        <v>45687</v>
      </c>
      <c r="B28" s="16" t="s">
        <v>10</v>
      </c>
      <c r="C28" s="17">
        <v>56.823</v>
      </c>
      <c r="D28" s="17">
        <v>10.795999999999999</v>
      </c>
      <c r="E28" s="9">
        <v>68.619</v>
      </c>
      <c r="J28" s="7"/>
      <c r="L28" s="7"/>
    </row>
    <row r="29" spans="1:12" ht="15.75" x14ac:dyDescent="0.25">
      <c r="A29" s="15">
        <v>45684</v>
      </c>
      <c r="B29" s="16" t="s">
        <v>10</v>
      </c>
      <c r="C29" s="17">
        <v>642.34400000000005</v>
      </c>
      <c r="D29" s="17">
        <v>122.045</v>
      </c>
      <c r="E29" s="5">
        <v>765.38900000000001</v>
      </c>
      <c r="J29" s="7"/>
      <c r="L29" s="7"/>
    </row>
    <row r="30" spans="1:12" ht="15.75" x14ac:dyDescent="0.25">
      <c r="A30" s="15"/>
      <c r="B30" s="16"/>
      <c r="C30" s="17"/>
      <c r="D30" s="17"/>
      <c r="E30" s="17"/>
      <c r="J30" s="6"/>
      <c r="L30" s="7"/>
    </row>
    <row r="31" spans="1:12" ht="15.75" x14ac:dyDescent="0.25">
      <c r="A31" s="15">
        <v>45687</v>
      </c>
      <c r="B31" s="16" t="s">
        <v>19</v>
      </c>
      <c r="C31" s="17">
        <v>1077.172</v>
      </c>
      <c r="D31" s="17">
        <v>111.1</v>
      </c>
      <c r="E31" s="17">
        <v>1189.2719999999999</v>
      </c>
      <c r="J31" s="7"/>
      <c r="L31" s="7"/>
    </row>
    <row r="32" spans="1:12" ht="15.75" x14ac:dyDescent="0.25">
      <c r="A32" s="15">
        <v>45687</v>
      </c>
      <c r="B32" s="16" t="s">
        <v>20</v>
      </c>
      <c r="C32" s="17">
        <v>70</v>
      </c>
      <c r="D32" s="17">
        <v>11.4</v>
      </c>
      <c r="E32" s="17">
        <v>82.4</v>
      </c>
      <c r="J32" s="6"/>
      <c r="L32" s="7"/>
    </row>
    <row r="33" spans="1:12" ht="15.75" x14ac:dyDescent="0.25">
      <c r="A33" s="15">
        <v>45670</v>
      </c>
      <c r="B33" s="16" t="s">
        <v>21</v>
      </c>
      <c r="C33" s="17">
        <v>70.361000000000004</v>
      </c>
      <c r="D33" s="17">
        <v>4.0419999999999998</v>
      </c>
      <c r="E33" s="9">
        <v>74.403000000000006</v>
      </c>
      <c r="J33" s="7"/>
      <c r="L33" s="7"/>
    </row>
    <row r="34" spans="1:12" ht="18.75" x14ac:dyDescent="0.25">
      <c r="A34" s="15">
        <v>45679</v>
      </c>
      <c r="B34" s="16" t="s">
        <v>22</v>
      </c>
      <c r="C34" s="17">
        <v>537</v>
      </c>
      <c r="D34" s="17">
        <v>102.03</v>
      </c>
      <c r="E34" s="5">
        <v>640.03</v>
      </c>
      <c r="F34" s="10"/>
      <c r="J34" s="6"/>
      <c r="L34" s="7"/>
    </row>
    <row r="35" spans="1:12" ht="18.75" x14ac:dyDescent="0.25">
      <c r="A35" s="15">
        <v>45688</v>
      </c>
      <c r="B35" s="16" t="s">
        <v>28</v>
      </c>
      <c r="C35" s="17">
        <v>4259.7049999999999</v>
      </c>
      <c r="D35" s="17">
        <v>582.00300000000004</v>
      </c>
      <c r="E35" s="5">
        <v>4841.7079999999996</v>
      </c>
      <c r="F35" s="10"/>
      <c r="J35" s="6"/>
      <c r="L35" s="7"/>
    </row>
    <row r="36" spans="1:12" ht="18.75" x14ac:dyDescent="0.25">
      <c r="A36" s="15"/>
      <c r="B36" s="16"/>
      <c r="C36" s="17"/>
      <c r="D36" s="17"/>
      <c r="E36" s="17"/>
      <c r="F36" s="10"/>
      <c r="J36" s="7"/>
      <c r="L36" s="7"/>
    </row>
    <row r="37" spans="1:12" ht="18.75" x14ac:dyDescent="0.25">
      <c r="A37" s="15">
        <v>45681</v>
      </c>
      <c r="B37" s="16" t="s">
        <v>30</v>
      </c>
      <c r="C37" s="17"/>
      <c r="D37" s="17"/>
      <c r="E37" s="5">
        <v>129</v>
      </c>
      <c r="F37" s="10"/>
      <c r="J37" s="6"/>
      <c r="L37" s="7"/>
    </row>
    <row r="38" spans="1:12" ht="18.75" x14ac:dyDescent="0.25">
      <c r="A38" s="15">
        <v>45680</v>
      </c>
      <c r="B38" s="16" t="s">
        <v>30</v>
      </c>
      <c r="C38" s="17"/>
      <c r="D38" s="17">
        <v>14928.516</v>
      </c>
      <c r="E38" s="5">
        <v>15385.370999999999</v>
      </c>
      <c r="F38" s="10"/>
      <c r="J38" s="6"/>
      <c r="L38" s="7"/>
    </row>
    <row r="39" spans="1:12" ht="18.75" x14ac:dyDescent="0.25">
      <c r="A39" s="15">
        <v>45667</v>
      </c>
      <c r="B39" s="16" t="s">
        <v>31</v>
      </c>
      <c r="C39" s="17"/>
      <c r="D39" s="17"/>
      <c r="E39" s="17">
        <v>78164.004000000001</v>
      </c>
      <c r="F39" s="10"/>
      <c r="J39" s="6"/>
      <c r="L39" s="7"/>
    </row>
    <row r="40" spans="1:12" ht="17.25" customHeight="1" x14ac:dyDescent="0.25">
      <c r="A40" s="15">
        <v>45658</v>
      </c>
      <c r="B40" s="16" t="s">
        <v>23</v>
      </c>
      <c r="C40" s="17"/>
      <c r="D40" s="17"/>
      <c r="E40" s="17">
        <v>10949.814</v>
      </c>
      <c r="J40" s="6"/>
      <c r="L40" s="7"/>
    </row>
    <row r="41" spans="1:12" ht="15" customHeight="1" x14ac:dyDescent="0.25">
      <c r="A41" s="118"/>
      <c r="B41" s="118"/>
      <c r="C41" s="119"/>
      <c r="D41" s="119"/>
      <c r="E41" s="119"/>
      <c r="J41" s="6"/>
    </row>
    <row r="42" spans="1:12" ht="15" customHeight="1" x14ac:dyDescent="0.25">
      <c r="A42" s="118"/>
      <c r="B42" s="118"/>
      <c r="C42" s="119"/>
      <c r="D42" s="119"/>
      <c r="E42" s="119"/>
    </row>
    <row r="43" spans="1:12" ht="42" customHeight="1" x14ac:dyDescent="0.25">
      <c r="A43" s="114" t="s">
        <v>147</v>
      </c>
      <c r="B43" s="115"/>
      <c r="C43" s="115"/>
      <c r="D43" s="115"/>
      <c r="E43" s="115"/>
    </row>
    <row r="44" spans="1:12" ht="15.75" x14ac:dyDescent="0.25">
      <c r="A44" s="12">
        <v>45691</v>
      </c>
      <c r="B44" s="13" t="s">
        <v>24</v>
      </c>
      <c r="C44" s="14">
        <v>221.19</v>
      </c>
      <c r="D44" s="14">
        <v>42.026000000000003</v>
      </c>
      <c r="E44" s="14">
        <v>264.21600000000001</v>
      </c>
    </row>
    <row r="45" spans="1:12" ht="15.75" x14ac:dyDescent="0.25">
      <c r="A45" s="15">
        <v>45692</v>
      </c>
      <c r="B45" s="16" t="s">
        <v>25</v>
      </c>
      <c r="C45" s="17"/>
      <c r="D45" s="17"/>
      <c r="E45" s="17">
        <v>84.299000000000007</v>
      </c>
      <c r="L45" s="11"/>
    </row>
    <row r="46" spans="1:12" ht="15.75" x14ac:dyDescent="0.25">
      <c r="A46" s="15">
        <v>45692</v>
      </c>
      <c r="B46" s="16" t="s">
        <v>26</v>
      </c>
      <c r="C46" s="17">
        <v>224</v>
      </c>
      <c r="D46" s="17">
        <v>16</v>
      </c>
      <c r="E46" s="17">
        <v>240</v>
      </c>
    </row>
    <row r="47" spans="1:12" ht="15.75" x14ac:dyDescent="0.25">
      <c r="A47" s="15">
        <v>45692</v>
      </c>
      <c r="B47" s="16" t="s">
        <v>26</v>
      </c>
      <c r="C47" s="17">
        <v>224</v>
      </c>
      <c r="D47" s="17">
        <v>16</v>
      </c>
      <c r="E47" s="17">
        <v>240</v>
      </c>
    </row>
    <row r="48" spans="1:12" ht="15.75" x14ac:dyDescent="0.25">
      <c r="A48" s="15">
        <v>45692</v>
      </c>
      <c r="B48" s="16" t="s">
        <v>26</v>
      </c>
      <c r="C48" s="17">
        <v>336</v>
      </c>
      <c r="D48" s="17">
        <v>24</v>
      </c>
      <c r="E48" s="17">
        <v>360</v>
      </c>
      <c r="K48" s="11"/>
    </row>
    <row r="49" spans="1:5" ht="15.75" x14ac:dyDescent="0.25">
      <c r="A49" s="15">
        <v>45695</v>
      </c>
      <c r="B49" s="16" t="s">
        <v>27</v>
      </c>
      <c r="C49" s="17">
        <v>7.5629999999999997</v>
      </c>
      <c r="D49" s="17">
        <v>1.4370000000000001</v>
      </c>
      <c r="E49" s="17">
        <v>10</v>
      </c>
    </row>
    <row r="50" spans="1:5" ht="15.75" x14ac:dyDescent="0.25">
      <c r="A50" s="15">
        <v>45693</v>
      </c>
      <c r="B50" s="16" t="s">
        <v>29</v>
      </c>
      <c r="C50" s="17">
        <v>28000</v>
      </c>
      <c r="D50" s="17">
        <v>5320</v>
      </c>
      <c r="E50" s="17">
        <v>33321</v>
      </c>
    </row>
    <row r="51" spans="1:5" ht="15.75" x14ac:dyDescent="0.25">
      <c r="A51" s="15">
        <v>45698</v>
      </c>
      <c r="B51" s="16" t="s">
        <v>32</v>
      </c>
      <c r="C51" s="17">
        <v>4776.232</v>
      </c>
      <c r="D51" s="17">
        <v>907.48400000000004</v>
      </c>
      <c r="E51" s="17">
        <v>5705.2759999999998</v>
      </c>
    </row>
    <row r="52" spans="1:5" ht="15.75" x14ac:dyDescent="0.25">
      <c r="A52" s="15">
        <v>45689</v>
      </c>
      <c r="B52" s="16" t="s">
        <v>33</v>
      </c>
      <c r="C52" s="17">
        <v>37.941000000000003</v>
      </c>
      <c r="D52" s="17">
        <v>3.5630000000000002</v>
      </c>
      <c r="E52" s="17">
        <v>42.505000000000003</v>
      </c>
    </row>
    <row r="53" spans="1:5" ht="15.75" x14ac:dyDescent="0.25">
      <c r="A53" s="15">
        <v>45694</v>
      </c>
      <c r="B53" s="16" t="s">
        <v>34</v>
      </c>
      <c r="C53" s="17">
        <v>4035.2930000000001</v>
      </c>
      <c r="D53" s="17">
        <v>766.70600000000002</v>
      </c>
      <c r="E53" s="17">
        <v>4802.9989999999998</v>
      </c>
    </row>
    <row r="54" spans="1:5" ht="15.75" x14ac:dyDescent="0.25">
      <c r="A54" s="15">
        <v>45696</v>
      </c>
      <c r="B54" s="16" t="s">
        <v>35</v>
      </c>
      <c r="C54" s="17">
        <v>23.529</v>
      </c>
      <c r="D54" s="17">
        <v>4.4710000000000001</v>
      </c>
      <c r="E54" s="17">
        <v>28</v>
      </c>
    </row>
    <row r="55" spans="1:5" ht="15.75" x14ac:dyDescent="0.25">
      <c r="A55" s="15">
        <v>45699</v>
      </c>
      <c r="B55" s="16" t="s">
        <v>24</v>
      </c>
      <c r="C55" s="17">
        <v>50</v>
      </c>
      <c r="D55" s="17">
        <v>9.5950000000000006</v>
      </c>
      <c r="E55" s="17">
        <v>61.094999999999999</v>
      </c>
    </row>
    <row r="56" spans="1:5" ht="15.75" x14ac:dyDescent="0.25">
      <c r="A56" s="15">
        <v>45702</v>
      </c>
      <c r="B56" s="16" t="s">
        <v>36</v>
      </c>
      <c r="C56" s="17">
        <v>108.428</v>
      </c>
      <c r="D56" s="17">
        <v>20.600999999999999</v>
      </c>
      <c r="E56" s="17">
        <v>130.029</v>
      </c>
    </row>
    <row r="57" spans="1:5" ht="15.75" x14ac:dyDescent="0.25">
      <c r="A57" s="15">
        <v>45699</v>
      </c>
      <c r="B57" s="16" t="s">
        <v>27</v>
      </c>
      <c r="C57" s="17">
        <v>167.227</v>
      </c>
      <c r="D57" s="17">
        <v>31.773</v>
      </c>
      <c r="E57" s="17">
        <v>200</v>
      </c>
    </row>
    <row r="58" spans="1:5" ht="15.75" x14ac:dyDescent="0.25">
      <c r="A58" s="15">
        <v>45696</v>
      </c>
      <c r="B58" s="16" t="s">
        <v>35</v>
      </c>
      <c r="C58" s="17"/>
      <c r="D58" s="17"/>
      <c r="E58" s="17">
        <v>36.5</v>
      </c>
    </row>
    <row r="59" spans="1:5" ht="15.75" x14ac:dyDescent="0.25">
      <c r="A59" s="15">
        <v>45692</v>
      </c>
      <c r="B59" s="16" t="s">
        <v>27</v>
      </c>
      <c r="C59" s="17">
        <v>12.75</v>
      </c>
      <c r="D59" s="17">
        <v>2.423</v>
      </c>
      <c r="E59" s="17">
        <v>16.172999999999998</v>
      </c>
    </row>
    <row r="60" spans="1:5" ht="15.75" x14ac:dyDescent="0.25">
      <c r="A60" s="15">
        <v>45703</v>
      </c>
      <c r="B60" s="16" t="s">
        <v>34</v>
      </c>
      <c r="C60" s="17">
        <v>294.11799999999999</v>
      </c>
      <c r="D60" s="17">
        <v>55.881999999999998</v>
      </c>
      <c r="E60" s="17">
        <v>351</v>
      </c>
    </row>
    <row r="61" spans="1:5" ht="15.75" x14ac:dyDescent="0.25">
      <c r="A61" s="15">
        <v>45699</v>
      </c>
      <c r="B61" s="16" t="s">
        <v>26</v>
      </c>
      <c r="C61" s="17">
        <v>36.5</v>
      </c>
      <c r="D61" s="17"/>
      <c r="E61" s="17">
        <v>36.5</v>
      </c>
    </row>
    <row r="62" spans="1:5" x14ac:dyDescent="0.25">
      <c r="A62" s="18">
        <v>45707</v>
      </c>
      <c r="B62" s="19" t="s">
        <v>37</v>
      </c>
      <c r="C62" s="20">
        <v>4032.7730000000001</v>
      </c>
      <c r="D62" s="20">
        <v>766.22699999999998</v>
      </c>
      <c r="E62" s="20">
        <v>4800</v>
      </c>
    </row>
    <row r="63" spans="1:5" x14ac:dyDescent="0.25">
      <c r="A63" s="18">
        <v>45707</v>
      </c>
      <c r="B63" s="19" t="s">
        <v>37</v>
      </c>
      <c r="C63" s="20">
        <v>4032.7730000000001</v>
      </c>
      <c r="D63" s="20">
        <v>766.22699999999998</v>
      </c>
      <c r="E63" s="20">
        <v>4800</v>
      </c>
    </row>
    <row r="64" spans="1:5" ht="15.75" x14ac:dyDescent="0.25">
      <c r="A64" s="15">
        <v>45703</v>
      </c>
      <c r="B64" s="17" t="s">
        <v>39</v>
      </c>
      <c r="C64" s="17">
        <v>4334.2629999999999</v>
      </c>
      <c r="D64" s="17">
        <v>819.90899999999999</v>
      </c>
      <c r="E64" s="17">
        <v>5155.1719999999996</v>
      </c>
    </row>
    <row r="65" spans="1:5" ht="15.75" x14ac:dyDescent="0.25">
      <c r="A65" s="15">
        <v>45708</v>
      </c>
      <c r="B65" s="17" t="s">
        <v>42</v>
      </c>
      <c r="C65" s="17">
        <v>14876.94</v>
      </c>
      <c r="D65" s="17">
        <v>2826.6190000000001</v>
      </c>
      <c r="E65" s="17">
        <v>17768.598999999998</v>
      </c>
    </row>
    <row r="66" spans="1:5" ht="15.75" x14ac:dyDescent="0.25">
      <c r="A66" s="15">
        <v>45708</v>
      </c>
      <c r="B66" s="17" t="s">
        <v>35</v>
      </c>
      <c r="C66" s="17"/>
      <c r="D66" s="17"/>
      <c r="E66" s="17">
        <v>36.5</v>
      </c>
    </row>
    <row r="67" spans="1:5" s="26" customFormat="1" ht="14.25" x14ac:dyDescent="0.25">
      <c r="A67" s="23">
        <v>45708</v>
      </c>
      <c r="B67" s="24" t="s">
        <v>38</v>
      </c>
      <c r="C67" s="25">
        <v>744.63199999999995</v>
      </c>
      <c r="D67" s="25">
        <v>141.48099999999999</v>
      </c>
      <c r="E67" s="25">
        <v>887.11300000000006</v>
      </c>
    </row>
    <row r="68" spans="1:5" s="26" customFormat="1" ht="14.25" x14ac:dyDescent="0.25">
      <c r="A68" s="27">
        <v>45692</v>
      </c>
      <c r="B68" s="28" t="s">
        <v>40</v>
      </c>
      <c r="C68" s="29">
        <v>35000</v>
      </c>
      <c r="D68" s="29">
        <v>6650</v>
      </c>
      <c r="E68" s="29">
        <v>41651</v>
      </c>
    </row>
    <row r="69" spans="1:5" s="26" customFormat="1" ht="14.25" x14ac:dyDescent="0.25">
      <c r="A69" s="23">
        <v>45686</v>
      </c>
      <c r="B69" s="24" t="s">
        <v>41</v>
      </c>
      <c r="C69" s="25">
        <v>361.09500000000003</v>
      </c>
      <c r="D69" s="25">
        <v>68.608000000000004</v>
      </c>
      <c r="E69" s="25">
        <v>430.70299999999997</v>
      </c>
    </row>
    <row r="70" spans="1:5" s="22" customFormat="1" x14ac:dyDescent="0.25">
      <c r="A70" s="23">
        <v>45712</v>
      </c>
      <c r="B70" s="24" t="s">
        <v>27</v>
      </c>
      <c r="C70" s="25">
        <v>45.378</v>
      </c>
      <c r="D70" s="25">
        <v>8.6219999999999999</v>
      </c>
      <c r="E70" s="25">
        <v>55</v>
      </c>
    </row>
    <row r="71" spans="1:5" s="30" customFormat="1" ht="14.25" x14ac:dyDescent="0.25">
      <c r="A71" s="23">
        <v>45712</v>
      </c>
      <c r="B71" s="24" t="s">
        <v>43</v>
      </c>
      <c r="C71" s="25">
        <v>11.416</v>
      </c>
      <c r="D71" s="25">
        <v>2.169</v>
      </c>
      <c r="E71" s="25">
        <v>14.585000000000001</v>
      </c>
    </row>
    <row r="72" spans="1:5" s="26" customFormat="1" ht="14.25" x14ac:dyDescent="0.25">
      <c r="A72" s="23">
        <v>45713</v>
      </c>
      <c r="B72" s="24" t="s">
        <v>44</v>
      </c>
      <c r="C72" s="25"/>
      <c r="D72" s="25"/>
      <c r="E72" s="25">
        <v>450.61599999999999</v>
      </c>
    </row>
    <row r="73" spans="1:5" s="26" customFormat="1" x14ac:dyDescent="0.25">
      <c r="A73" s="23">
        <v>45713</v>
      </c>
      <c r="B73" s="33" t="s">
        <v>45</v>
      </c>
      <c r="C73" s="25">
        <v>18241.035</v>
      </c>
      <c r="D73" s="25">
        <v>3417.8719999999998</v>
      </c>
      <c r="E73" s="25">
        <v>21659.906999999999</v>
      </c>
    </row>
    <row r="74" spans="1:5" s="26" customFormat="1" ht="14.25" x14ac:dyDescent="0.25">
      <c r="A74" s="23" t="s">
        <v>46</v>
      </c>
      <c r="B74" s="24" t="s">
        <v>32</v>
      </c>
      <c r="C74" s="25">
        <v>4320.91</v>
      </c>
      <c r="D74" s="25">
        <v>820.97299999999996</v>
      </c>
      <c r="E74" s="25">
        <v>5161.4830000000002</v>
      </c>
    </row>
    <row r="75" spans="1:5" s="26" customFormat="1" ht="14.25" x14ac:dyDescent="0.25">
      <c r="A75" s="23">
        <v>45715</v>
      </c>
      <c r="B75" s="24" t="s">
        <v>51</v>
      </c>
      <c r="C75" s="25">
        <v>2780</v>
      </c>
      <c r="D75" s="25">
        <v>528.20000000000005</v>
      </c>
      <c r="E75" s="25">
        <v>3309.2</v>
      </c>
    </row>
    <row r="76" spans="1:5" ht="18.75" x14ac:dyDescent="0.25">
      <c r="A76" s="34">
        <v>45713</v>
      </c>
      <c r="B76" s="16" t="s">
        <v>47</v>
      </c>
      <c r="C76" s="17">
        <v>490</v>
      </c>
      <c r="D76" s="17">
        <v>93.1</v>
      </c>
      <c r="E76" s="17">
        <v>584.1</v>
      </c>
    </row>
    <row r="77" spans="1:5" ht="15.75" x14ac:dyDescent="0.25">
      <c r="A77" s="15">
        <v>45713</v>
      </c>
      <c r="B77" s="16" t="s">
        <v>48</v>
      </c>
      <c r="C77" s="17">
        <v>420</v>
      </c>
      <c r="D77" s="17">
        <v>79.8</v>
      </c>
      <c r="E77" s="17">
        <v>500</v>
      </c>
    </row>
    <row r="78" spans="1:5" ht="15.75" x14ac:dyDescent="0.25">
      <c r="A78" s="15">
        <v>45713</v>
      </c>
      <c r="B78" s="16" t="s">
        <v>49</v>
      </c>
      <c r="C78" s="17">
        <v>50.143999999999998</v>
      </c>
      <c r="D78" s="17">
        <v>9.5269999999999992</v>
      </c>
      <c r="E78" s="17">
        <v>60.670999999999999</v>
      </c>
    </row>
    <row r="79" spans="1:5" ht="15.75" x14ac:dyDescent="0.25">
      <c r="A79" s="15">
        <v>45716</v>
      </c>
      <c r="B79" s="16" t="s">
        <v>53</v>
      </c>
      <c r="C79" s="17">
        <v>4050.6149999999998</v>
      </c>
      <c r="D79" s="17">
        <v>550.928</v>
      </c>
      <c r="E79" s="17">
        <v>4601.5429999999997</v>
      </c>
    </row>
    <row r="80" spans="1:5" ht="42" customHeight="1" x14ac:dyDescent="0.25">
      <c r="A80" s="112" t="s">
        <v>151</v>
      </c>
      <c r="B80" s="113"/>
      <c r="C80" s="113"/>
      <c r="D80" s="113"/>
      <c r="E80" s="113"/>
    </row>
    <row r="81" spans="1:5" x14ac:dyDescent="0.25">
      <c r="A81" s="38">
        <v>45717</v>
      </c>
      <c r="B81" s="36" t="s">
        <v>50</v>
      </c>
      <c r="C81" s="37"/>
      <c r="D81" s="37"/>
      <c r="E81" s="37">
        <v>150</v>
      </c>
    </row>
    <row r="82" spans="1:5" x14ac:dyDescent="0.25">
      <c r="A82" s="38">
        <v>45722</v>
      </c>
      <c r="B82" s="36" t="s">
        <v>52</v>
      </c>
      <c r="C82" s="37"/>
      <c r="D82" s="37"/>
      <c r="E82" s="37">
        <v>56</v>
      </c>
    </row>
    <row r="83" spans="1:5" s="31" customFormat="1" ht="15.75" x14ac:dyDescent="0.25">
      <c r="A83" s="57">
        <v>45716</v>
      </c>
      <c r="B83" s="58" t="s">
        <v>32</v>
      </c>
      <c r="C83" s="59">
        <v>4274.4489999999996</v>
      </c>
      <c r="D83" s="59">
        <v>812.14499999999998</v>
      </c>
      <c r="E83" s="59">
        <v>5105.9939999999997</v>
      </c>
    </row>
    <row r="84" spans="1:5" s="32" customFormat="1" ht="15" customHeight="1" x14ac:dyDescent="0.25">
      <c r="A84" s="38">
        <v>45688</v>
      </c>
      <c r="B84" s="36" t="s">
        <v>7</v>
      </c>
      <c r="C84" s="37">
        <v>-747.99599999999998</v>
      </c>
      <c r="D84" s="37">
        <v>-119.58799999999999</v>
      </c>
      <c r="E84" s="37">
        <v>-747.99599999999998</v>
      </c>
    </row>
    <row r="85" spans="1:5" s="32" customFormat="1" ht="15" customHeight="1" x14ac:dyDescent="0.25">
      <c r="A85" s="38">
        <v>45709</v>
      </c>
      <c r="B85" s="60" t="s">
        <v>54</v>
      </c>
      <c r="C85" s="37">
        <v>411.06900000000002</v>
      </c>
      <c r="D85" s="37">
        <v>70.933999999999997</v>
      </c>
      <c r="E85" s="37">
        <v>482</v>
      </c>
    </row>
    <row r="86" spans="1:5" x14ac:dyDescent="0.25">
      <c r="A86" s="38">
        <v>45706</v>
      </c>
      <c r="B86" s="61" t="s">
        <v>54</v>
      </c>
      <c r="C86" s="37"/>
      <c r="D86" s="37">
        <v>34.015999999999998</v>
      </c>
      <c r="E86" s="62">
        <v>31</v>
      </c>
    </row>
    <row r="87" spans="1:5" x14ac:dyDescent="0.25">
      <c r="A87" s="38">
        <v>45689</v>
      </c>
      <c r="B87" s="61" t="s">
        <v>55</v>
      </c>
      <c r="C87" s="37">
        <v>160.453</v>
      </c>
      <c r="D87" s="37" t="s">
        <v>72</v>
      </c>
      <c r="E87" s="62">
        <v>176.5</v>
      </c>
    </row>
    <row r="88" spans="1:5" x14ac:dyDescent="0.25">
      <c r="A88" s="38">
        <v>45726</v>
      </c>
      <c r="B88" s="61" t="s">
        <v>32</v>
      </c>
      <c r="C88" s="37">
        <v>24141.343000000001</v>
      </c>
      <c r="D88" s="37">
        <v>4586.8549999999996</v>
      </c>
      <c r="E88" s="62">
        <v>28544.785</v>
      </c>
    </row>
    <row r="89" spans="1:5" x14ac:dyDescent="0.25">
      <c r="A89" s="38">
        <v>45731</v>
      </c>
      <c r="B89" s="61" t="s">
        <v>56</v>
      </c>
      <c r="C89" s="37">
        <v>405.04700000000003</v>
      </c>
      <c r="D89" s="37">
        <v>76.959000000000003</v>
      </c>
      <c r="E89" s="62">
        <v>530.60599999999999</v>
      </c>
    </row>
    <row r="90" spans="1:5" x14ac:dyDescent="0.25">
      <c r="A90" s="38">
        <v>45726</v>
      </c>
      <c r="B90" s="36" t="s">
        <v>26</v>
      </c>
      <c r="C90" s="37">
        <v>224</v>
      </c>
      <c r="D90" s="37">
        <v>16</v>
      </c>
      <c r="E90" s="37">
        <v>240</v>
      </c>
    </row>
    <row r="91" spans="1:5" x14ac:dyDescent="0.25">
      <c r="A91" s="38">
        <v>45726</v>
      </c>
      <c r="B91" s="36" t="s">
        <v>26</v>
      </c>
      <c r="C91" s="37">
        <v>336</v>
      </c>
      <c r="D91" s="37">
        <v>24</v>
      </c>
      <c r="E91" s="37">
        <v>360</v>
      </c>
    </row>
    <row r="92" spans="1:5" x14ac:dyDescent="0.25">
      <c r="A92" s="38">
        <v>45726</v>
      </c>
      <c r="B92" s="36" t="s">
        <v>8</v>
      </c>
      <c r="C92" s="37">
        <v>224</v>
      </c>
      <c r="D92" s="37">
        <v>16</v>
      </c>
      <c r="E92" s="37">
        <v>240</v>
      </c>
    </row>
    <row r="93" spans="1:5" x14ac:dyDescent="0.25">
      <c r="A93" s="38">
        <v>45717</v>
      </c>
      <c r="B93" s="36" t="s">
        <v>33</v>
      </c>
      <c r="C93" s="37">
        <v>37.941000000000003</v>
      </c>
      <c r="D93" s="37">
        <v>3.5630000000000002</v>
      </c>
      <c r="E93" s="37">
        <v>42.505000000000003</v>
      </c>
    </row>
    <row r="94" spans="1:5" x14ac:dyDescent="0.25">
      <c r="A94" s="38">
        <v>45719</v>
      </c>
      <c r="B94" s="36" t="s">
        <v>57</v>
      </c>
      <c r="C94" s="37">
        <v>132.50700000000001</v>
      </c>
      <c r="D94" s="37">
        <v>11.943</v>
      </c>
      <c r="E94" s="37">
        <v>145.44999999999999</v>
      </c>
    </row>
    <row r="95" spans="1:5" x14ac:dyDescent="0.25">
      <c r="A95" s="38">
        <v>45719</v>
      </c>
      <c r="B95" s="36" t="s">
        <v>57</v>
      </c>
      <c r="C95" s="37">
        <v>16.722999999999999</v>
      </c>
      <c r="D95" s="37">
        <v>3.177</v>
      </c>
      <c r="E95" s="37">
        <v>20.9</v>
      </c>
    </row>
    <row r="96" spans="1:5" x14ac:dyDescent="0.25">
      <c r="A96" s="38">
        <v>45729</v>
      </c>
      <c r="B96" s="36" t="s">
        <v>58</v>
      </c>
      <c r="C96" s="37">
        <v>132</v>
      </c>
      <c r="D96" s="37">
        <v>18.809999999999999</v>
      </c>
      <c r="E96" s="37">
        <v>150.81</v>
      </c>
    </row>
    <row r="97" spans="1:5" x14ac:dyDescent="0.25">
      <c r="A97" s="38">
        <v>45729</v>
      </c>
      <c r="B97" s="36" t="s">
        <v>58</v>
      </c>
      <c r="C97" s="37">
        <f>+E97-D97</f>
        <v>269</v>
      </c>
      <c r="D97" s="37">
        <v>38.57</v>
      </c>
      <c r="E97" s="37">
        <v>307.57</v>
      </c>
    </row>
    <row r="98" spans="1:5" x14ac:dyDescent="0.25">
      <c r="A98" s="38">
        <v>45729</v>
      </c>
      <c r="B98" s="36" t="s">
        <v>24</v>
      </c>
      <c r="C98" s="37">
        <v>50.5</v>
      </c>
      <c r="D98" s="37">
        <v>9.5950000000000006</v>
      </c>
      <c r="E98" s="37">
        <v>61.094999999999999</v>
      </c>
    </row>
    <row r="99" spans="1:5" x14ac:dyDescent="0.25">
      <c r="A99" s="38">
        <v>45731</v>
      </c>
      <c r="B99" s="36" t="s">
        <v>27</v>
      </c>
      <c r="C99" s="37">
        <v>13.6</v>
      </c>
      <c r="D99" s="37">
        <v>2.5840000000000001</v>
      </c>
      <c r="E99" s="37">
        <v>17.184000000000001</v>
      </c>
    </row>
    <row r="100" spans="1:5" x14ac:dyDescent="0.25">
      <c r="A100" s="38">
        <v>45733</v>
      </c>
      <c r="B100" s="36" t="s">
        <v>59</v>
      </c>
      <c r="C100" s="37">
        <v>109.11199999999999</v>
      </c>
      <c r="D100" s="37">
        <v>20.731000000000002</v>
      </c>
      <c r="E100" s="37">
        <v>130.84299999999999</v>
      </c>
    </row>
    <row r="101" spans="1:5" x14ac:dyDescent="0.25">
      <c r="A101" s="38">
        <v>45734</v>
      </c>
      <c r="B101" s="36" t="s">
        <v>60</v>
      </c>
      <c r="C101" s="37">
        <v>4.9420000000000002</v>
      </c>
      <c r="D101" s="37">
        <v>0.93899999999999995</v>
      </c>
      <c r="E101" s="37">
        <v>6.8810000000000002</v>
      </c>
    </row>
    <row r="102" spans="1:5" x14ac:dyDescent="0.25">
      <c r="A102" s="38">
        <v>45734</v>
      </c>
      <c r="B102" s="36" t="s">
        <v>38</v>
      </c>
      <c r="C102" s="37">
        <v>4.2</v>
      </c>
      <c r="D102" s="37">
        <v>0.79800000000000004</v>
      </c>
      <c r="E102" s="37">
        <v>4.9980000000000002</v>
      </c>
    </row>
    <row r="103" spans="1:5" x14ac:dyDescent="0.25">
      <c r="A103" s="38">
        <v>45729</v>
      </c>
      <c r="B103" s="36" t="s">
        <v>32</v>
      </c>
      <c r="C103" s="37">
        <v>10588.553</v>
      </c>
      <c r="D103" s="37">
        <v>2011.825</v>
      </c>
      <c r="E103" s="37">
        <v>12646.959000000001</v>
      </c>
    </row>
    <row r="104" spans="1:5" x14ac:dyDescent="0.25">
      <c r="A104" s="38">
        <v>45729</v>
      </c>
      <c r="B104" s="36" t="s">
        <v>61</v>
      </c>
      <c r="C104" s="37">
        <v>-1379.73</v>
      </c>
      <c r="D104" s="37">
        <v>-262.149</v>
      </c>
      <c r="E104" s="37">
        <v>-1640.8789999999999</v>
      </c>
    </row>
    <row r="105" spans="1:5" x14ac:dyDescent="0.25">
      <c r="A105" s="38">
        <v>45738</v>
      </c>
      <c r="B105" s="36" t="s">
        <v>62</v>
      </c>
      <c r="C105" s="37">
        <v>292.08100000000002</v>
      </c>
      <c r="D105" s="37">
        <v>55.494999999999997</v>
      </c>
      <c r="E105" s="37">
        <v>348.57600000000002</v>
      </c>
    </row>
    <row r="106" spans="1:5" x14ac:dyDescent="0.25">
      <c r="A106" s="38">
        <v>45626</v>
      </c>
      <c r="B106" s="36" t="s">
        <v>62</v>
      </c>
      <c r="C106" s="37">
        <v>178.08</v>
      </c>
      <c r="D106" s="37">
        <v>33.835000000000001</v>
      </c>
      <c r="E106" s="37">
        <v>212.91499999999999</v>
      </c>
    </row>
    <row r="107" spans="1:5" x14ac:dyDescent="0.25">
      <c r="A107" s="38">
        <v>45740</v>
      </c>
      <c r="B107" s="36" t="s">
        <v>63</v>
      </c>
      <c r="C107" s="37">
        <v>767.64700000000005</v>
      </c>
      <c r="D107" s="37">
        <v>145.85300000000001</v>
      </c>
      <c r="E107" s="37">
        <v>914.5</v>
      </c>
    </row>
    <row r="108" spans="1:5" x14ac:dyDescent="0.25">
      <c r="A108" s="38">
        <v>45741</v>
      </c>
      <c r="B108" s="36" t="s">
        <v>32</v>
      </c>
      <c r="C108" s="37">
        <v>9152.8960000000006</v>
      </c>
      <c r="D108" s="37">
        <v>1739.05</v>
      </c>
      <c r="E108" s="37">
        <v>10932.346</v>
      </c>
    </row>
    <row r="109" spans="1:5" x14ac:dyDescent="0.25">
      <c r="A109" s="38">
        <v>45741</v>
      </c>
      <c r="B109" s="36" t="s">
        <v>64</v>
      </c>
      <c r="C109" s="37"/>
      <c r="D109" s="37"/>
      <c r="E109" s="37">
        <v>5</v>
      </c>
    </row>
    <row r="110" spans="1:5" x14ac:dyDescent="0.25">
      <c r="A110" s="38">
        <v>45724</v>
      </c>
      <c r="B110" s="36" t="s">
        <v>78</v>
      </c>
      <c r="C110" s="37">
        <v>4540.1120000000001</v>
      </c>
      <c r="D110" s="37">
        <v>858.85</v>
      </c>
      <c r="E110" s="37">
        <v>5399.9620000000004</v>
      </c>
    </row>
    <row r="111" spans="1:5" x14ac:dyDescent="0.25">
      <c r="A111" s="38">
        <v>45741</v>
      </c>
      <c r="B111" s="36" t="s">
        <v>65</v>
      </c>
      <c r="C111" s="37">
        <v>1008.573</v>
      </c>
      <c r="D111" s="37">
        <v>191.62899999999999</v>
      </c>
      <c r="E111" s="37">
        <v>1201.202</v>
      </c>
    </row>
    <row r="112" spans="1:5" x14ac:dyDescent="0.25">
      <c r="A112" s="38">
        <v>45744</v>
      </c>
      <c r="B112" s="36" t="s">
        <v>45</v>
      </c>
      <c r="C112" s="37">
        <v>14020.597</v>
      </c>
      <c r="D112" s="37">
        <v>2652.2660000000001</v>
      </c>
      <c r="E112" s="37">
        <v>16673.894</v>
      </c>
    </row>
    <row r="113" spans="1:5" x14ac:dyDescent="0.25">
      <c r="A113" s="38">
        <v>45737</v>
      </c>
      <c r="B113" s="36" t="s">
        <v>66</v>
      </c>
      <c r="C113" s="37"/>
      <c r="D113" s="37"/>
      <c r="E113" s="37">
        <v>4425</v>
      </c>
    </row>
    <row r="114" spans="1:5" x14ac:dyDescent="0.25">
      <c r="A114" s="38">
        <v>45741</v>
      </c>
      <c r="B114" s="36" t="s">
        <v>29</v>
      </c>
      <c r="C114" s="37">
        <v>2500</v>
      </c>
      <c r="D114" s="37">
        <v>475</v>
      </c>
      <c r="E114" s="37">
        <v>2975</v>
      </c>
    </row>
    <row r="115" spans="1:5" x14ac:dyDescent="0.25">
      <c r="A115" s="38">
        <v>45743</v>
      </c>
      <c r="B115" s="36" t="s">
        <v>70</v>
      </c>
      <c r="C115" s="37">
        <v>873.673</v>
      </c>
      <c r="D115" s="37">
        <v>165.99</v>
      </c>
      <c r="E115" s="37">
        <v>1040.671</v>
      </c>
    </row>
    <row r="116" spans="1:5" x14ac:dyDescent="0.25">
      <c r="A116" s="38">
        <v>45743</v>
      </c>
      <c r="B116" s="36" t="s">
        <v>71</v>
      </c>
      <c r="C116" s="37">
        <v>744.04300000000001</v>
      </c>
      <c r="D116" s="37">
        <v>80.706000000000003</v>
      </c>
      <c r="E116" s="37">
        <v>824.74900000000002</v>
      </c>
    </row>
    <row r="117" spans="1:5" x14ac:dyDescent="0.25">
      <c r="A117" s="38">
        <v>45744</v>
      </c>
      <c r="B117" s="36" t="s">
        <v>69</v>
      </c>
      <c r="C117" s="37">
        <v>504.202</v>
      </c>
      <c r="D117" s="37">
        <v>95.79</v>
      </c>
      <c r="E117" s="37">
        <v>601</v>
      </c>
    </row>
    <row r="118" spans="1:5" x14ac:dyDescent="0.25">
      <c r="A118" s="38">
        <v>45744</v>
      </c>
      <c r="B118" s="36" t="s">
        <v>32</v>
      </c>
      <c r="C118" s="37"/>
      <c r="D118" s="37"/>
      <c r="E118" s="37">
        <v>10823.032999999999</v>
      </c>
    </row>
    <row r="119" spans="1:5" x14ac:dyDescent="0.25">
      <c r="A119" s="38"/>
      <c r="B119" s="36"/>
      <c r="C119" s="37"/>
      <c r="D119" s="37"/>
      <c r="E119" s="37"/>
    </row>
    <row r="120" spans="1:5" x14ac:dyDescent="0.25">
      <c r="A120" s="38">
        <v>45737</v>
      </c>
      <c r="B120" s="36" t="s">
        <v>77</v>
      </c>
      <c r="C120" s="37"/>
      <c r="D120" s="37"/>
      <c r="E120" s="37">
        <v>510</v>
      </c>
    </row>
    <row r="121" spans="1:5" x14ac:dyDescent="0.25">
      <c r="A121" s="38">
        <v>45744</v>
      </c>
      <c r="B121" s="36" t="s">
        <v>27</v>
      </c>
      <c r="C121" s="37">
        <v>8.8979999999999997</v>
      </c>
      <c r="D121" s="37">
        <v>1.4370000000000001</v>
      </c>
      <c r="E121" s="37">
        <v>10</v>
      </c>
    </row>
    <row r="122" spans="1:5" x14ac:dyDescent="0.25">
      <c r="A122" s="38">
        <v>45745</v>
      </c>
      <c r="B122" s="36" t="s">
        <v>79</v>
      </c>
      <c r="C122" s="37">
        <v>35.97</v>
      </c>
      <c r="D122" s="37">
        <v>6.6440000000000001</v>
      </c>
      <c r="E122" s="37">
        <v>42.613999999999997</v>
      </c>
    </row>
    <row r="123" spans="1:5" x14ac:dyDescent="0.25">
      <c r="A123" s="38">
        <v>45745</v>
      </c>
      <c r="B123" s="36" t="s">
        <v>67</v>
      </c>
      <c r="C123" s="37">
        <v>64.644000000000005</v>
      </c>
      <c r="D123" s="37">
        <v>10.488</v>
      </c>
      <c r="E123" s="37">
        <v>66.69</v>
      </c>
    </row>
    <row r="124" spans="1:5" ht="14.25" customHeight="1" x14ac:dyDescent="0.25">
      <c r="A124" s="38">
        <v>45747</v>
      </c>
      <c r="B124" s="36" t="s">
        <v>74</v>
      </c>
      <c r="C124" s="37">
        <v>4512.768</v>
      </c>
      <c r="D124" s="37">
        <v>614.971</v>
      </c>
      <c r="E124" s="37">
        <v>5127.7389999999996</v>
      </c>
    </row>
    <row r="125" spans="1:5" ht="13.5" customHeight="1" x14ac:dyDescent="0.25">
      <c r="A125" s="38">
        <v>45747</v>
      </c>
      <c r="B125" s="36" t="s">
        <v>68</v>
      </c>
      <c r="C125" s="37">
        <v>900</v>
      </c>
      <c r="D125" s="37">
        <v>171</v>
      </c>
      <c r="E125" s="37">
        <v>1071</v>
      </c>
    </row>
    <row r="126" spans="1:5" ht="14.25" customHeight="1" x14ac:dyDescent="0.25">
      <c r="A126" s="47">
        <v>45743</v>
      </c>
      <c r="B126" s="48" t="s">
        <v>38</v>
      </c>
      <c r="C126" s="49">
        <v>27.376000000000001</v>
      </c>
      <c r="D126" s="49">
        <v>5.2009999999999996</v>
      </c>
      <c r="E126" s="49">
        <v>33.576999999999998</v>
      </c>
    </row>
    <row r="127" spans="1:5" ht="16.5" customHeight="1" x14ac:dyDescent="0.25">
      <c r="A127" s="47">
        <v>45720</v>
      </c>
      <c r="B127" s="48" t="s">
        <v>81</v>
      </c>
      <c r="C127" s="49">
        <v>293.27699999999999</v>
      </c>
      <c r="D127" s="49">
        <v>55.722999999999999</v>
      </c>
      <c r="E127" s="49">
        <v>350</v>
      </c>
    </row>
    <row r="128" spans="1:5" ht="17.25" customHeight="1" x14ac:dyDescent="0.25">
      <c r="A128" s="38">
        <v>45743</v>
      </c>
      <c r="B128" s="36" t="s">
        <v>82</v>
      </c>
      <c r="C128" s="37">
        <v>3126.91</v>
      </c>
      <c r="D128" s="37">
        <v>594.11300000000006</v>
      </c>
      <c r="E128" s="37">
        <v>3722.0230000000001</v>
      </c>
    </row>
    <row r="129" spans="1:5" ht="17.25" customHeight="1" x14ac:dyDescent="0.25">
      <c r="A129" s="38">
        <v>45747</v>
      </c>
      <c r="B129" s="36" t="s">
        <v>99</v>
      </c>
      <c r="C129" s="37">
        <v>-535.50599999999997</v>
      </c>
      <c r="D129" s="37">
        <v>-101.746</v>
      </c>
      <c r="E129" s="37">
        <v>-636.25199999999995</v>
      </c>
    </row>
    <row r="130" spans="1:5" ht="14.25" customHeight="1" x14ac:dyDescent="0.25">
      <c r="A130" s="38">
        <v>45747</v>
      </c>
      <c r="B130" s="36" t="s">
        <v>6</v>
      </c>
      <c r="C130" s="37">
        <v>9877.6939999999995</v>
      </c>
      <c r="D130" s="37">
        <v>1876.7619999999999</v>
      </c>
      <c r="E130" s="37">
        <v>11797.976000000001</v>
      </c>
    </row>
    <row r="131" spans="1:5" s="36" customFormat="1" ht="15" customHeight="1" x14ac:dyDescent="0.25">
      <c r="A131" s="38">
        <v>45745</v>
      </c>
      <c r="B131" s="36" t="s">
        <v>76</v>
      </c>
      <c r="C131" s="37"/>
      <c r="D131" s="37"/>
      <c r="E131" s="37">
        <v>8</v>
      </c>
    </row>
    <row r="132" spans="1:5" s="31" customFormat="1" ht="25.5" customHeight="1" x14ac:dyDescent="0.25">
      <c r="A132" s="122" t="s">
        <v>3</v>
      </c>
      <c r="B132" s="123"/>
      <c r="C132" s="35">
        <f>SUM(C78:C122)</f>
        <v>78135.243999999992</v>
      </c>
      <c r="D132" s="35">
        <f>SUM(D78:D122)</f>
        <v>14440.707</v>
      </c>
      <c r="E132" s="35">
        <f>SUM(E81:E131)</f>
        <v>125544.42</v>
      </c>
    </row>
    <row r="133" spans="1:5" s="31" customFormat="1" ht="25.5" customHeight="1" x14ac:dyDescent="0.25">
      <c r="A133" s="120" t="s">
        <v>75</v>
      </c>
      <c r="B133" s="121"/>
      <c r="C133" s="121"/>
      <c r="D133" s="121"/>
      <c r="E133" s="121"/>
    </row>
    <row r="134" spans="1:5" ht="25.5" customHeight="1" x14ac:dyDescent="0.25">
      <c r="A134" s="38">
        <v>45750</v>
      </c>
      <c r="B134" s="36" t="s">
        <v>10</v>
      </c>
      <c r="C134" s="37">
        <v>271.23</v>
      </c>
      <c r="D134" s="36">
        <v>51.551000000000002</v>
      </c>
      <c r="E134" s="36">
        <v>323.87099999999998</v>
      </c>
    </row>
    <row r="135" spans="1:5" ht="16.5" customHeight="1" x14ac:dyDescent="0.25">
      <c r="A135" s="47">
        <v>45750</v>
      </c>
      <c r="B135" s="48" t="s">
        <v>10</v>
      </c>
      <c r="C135" s="49">
        <v>279.072</v>
      </c>
      <c r="D135" s="48">
        <v>53.024000000000001</v>
      </c>
      <c r="E135" s="48">
        <v>333.096</v>
      </c>
    </row>
    <row r="136" spans="1:5" ht="18" customHeight="1" x14ac:dyDescent="0.25">
      <c r="A136" s="47"/>
      <c r="B136" s="48" t="s">
        <v>80</v>
      </c>
      <c r="C136" s="48"/>
      <c r="D136" s="48"/>
      <c r="E136" s="50">
        <v>1.5</v>
      </c>
    </row>
    <row r="137" spans="1:5" ht="13.5" customHeight="1" x14ac:dyDescent="0.25">
      <c r="A137" s="47">
        <v>45750</v>
      </c>
      <c r="B137" s="48" t="s">
        <v>73</v>
      </c>
      <c r="C137" s="49" t="s">
        <v>72</v>
      </c>
      <c r="D137" s="49"/>
      <c r="E137" s="49">
        <v>63</v>
      </c>
    </row>
    <row r="138" spans="1:5" ht="20.25" customHeight="1" x14ac:dyDescent="0.25">
      <c r="A138" s="47">
        <v>45751</v>
      </c>
      <c r="B138" s="48" t="s">
        <v>92</v>
      </c>
      <c r="C138" s="49">
        <v>224</v>
      </c>
      <c r="D138" s="49">
        <v>16</v>
      </c>
      <c r="E138" s="49">
        <v>240</v>
      </c>
    </row>
    <row r="139" spans="1:5" ht="18.75" customHeight="1" x14ac:dyDescent="0.25">
      <c r="A139" s="47">
        <v>45751</v>
      </c>
      <c r="B139" s="48" t="s">
        <v>92</v>
      </c>
      <c r="C139" s="49">
        <v>224</v>
      </c>
      <c r="D139" s="49">
        <v>16</v>
      </c>
      <c r="E139" s="49">
        <v>240</v>
      </c>
    </row>
    <row r="140" spans="1:5" ht="24" customHeight="1" x14ac:dyDescent="0.25">
      <c r="A140" s="38">
        <v>45751</v>
      </c>
      <c r="B140" s="48" t="s">
        <v>92</v>
      </c>
      <c r="C140" s="37">
        <v>336</v>
      </c>
      <c r="D140" s="37">
        <v>24</v>
      </c>
      <c r="E140" s="37">
        <v>360</v>
      </c>
    </row>
    <row r="141" spans="1:5" ht="21" customHeight="1" x14ac:dyDescent="0.25">
      <c r="A141" s="38">
        <v>45750</v>
      </c>
      <c r="B141" s="36" t="s">
        <v>83</v>
      </c>
      <c r="C141" s="37"/>
      <c r="D141" s="37"/>
      <c r="E141" s="37">
        <v>25</v>
      </c>
    </row>
    <row r="142" spans="1:5" ht="14.25" customHeight="1" x14ac:dyDescent="0.25">
      <c r="A142" s="38">
        <v>45750</v>
      </c>
      <c r="B142" s="36" t="s">
        <v>84</v>
      </c>
      <c r="C142" s="37"/>
      <c r="D142" s="37"/>
      <c r="E142" s="37">
        <v>40</v>
      </c>
    </row>
    <row r="143" spans="1:5" ht="14.25" customHeight="1" x14ac:dyDescent="0.25">
      <c r="A143" s="38">
        <v>45750</v>
      </c>
      <c r="B143" s="36" t="s">
        <v>85</v>
      </c>
      <c r="C143" s="37">
        <v>184.035</v>
      </c>
      <c r="D143" s="37">
        <v>34.966999999999999</v>
      </c>
      <c r="E143" s="37">
        <v>220</v>
      </c>
    </row>
    <row r="144" spans="1:5" ht="13.5" customHeight="1" x14ac:dyDescent="0.25">
      <c r="A144" s="38">
        <v>45751</v>
      </c>
      <c r="B144" s="36" t="s">
        <v>11</v>
      </c>
      <c r="C144" s="37">
        <v>9.4</v>
      </c>
      <c r="D144" s="37">
        <v>1.786</v>
      </c>
      <c r="E144" s="37">
        <v>12.186</v>
      </c>
    </row>
    <row r="145" spans="1:5" ht="15.75" customHeight="1" x14ac:dyDescent="0.25">
      <c r="A145" s="38">
        <v>45751</v>
      </c>
      <c r="B145" s="36" t="s">
        <v>86</v>
      </c>
      <c r="C145" s="37">
        <v>495</v>
      </c>
      <c r="D145" s="37"/>
      <c r="E145" s="37">
        <v>450</v>
      </c>
    </row>
    <row r="146" spans="1:5" ht="16.5" customHeight="1" x14ac:dyDescent="0.25">
      <c r="A146" s="38">
        <v>45751</v>
      </c>
      <c r="B146" s="36" t="s">
        <v>87</v>
      </c>
      <c r="C146" s="37"/>
      <c r="D146" s="37"/>
      <c r="E146" s="37">
        <v>42</v>
      </c>
    </row>
    <row r="147" spans="1:5" ht="12" customHeight="1" x14ac:dyDescent="0.25">
      <c r="A147" s="38">
        <v>45751</v>
      </c>
      <c r="B147" s="36" t="s">
        <v>88</v>
      </c>
      <c r="C147" s="37">
        <v>12</v>
      </c>
      <c r="D147" s="37">
        <v>3.28</v>
      </c>
      <c r="E147" s="37">
        <v>15.28</v>
      </c>
    </row>
    <row r="148" spans="1:5" ht="12" hidden="1" customHeight="1" x14ac:dyDescent="0.25">
      <c r="A148" s="38"/>
      <c r="B148" s="36"/>
      <c r="C148" s="37"/>
      <c r="D148" s="37"/>
      <c r="E148" s="37"/>
    </row>
    <row r="149" spans="1:5" x14ac:dyDescent="0.25">
      <c r="A149" s="38">
        <v>45752</v>
      </c>
      <c r="B149" s="36" t="s">
        <v>89</v>
      </c>
      <c r="C149" s="37">
        <v>110.18600000000001</v>
      </c>
      <c r="D149" s="37">
        <v>20.934999999999999</v>
      </c>
      <c r="E149" s="37">
        <v>132.12100000000001</v>
      </c>
    </row>
    <row r="150" spans="1:5" x14ac:dyDescent="0.25">
      <c r="A150" s="38">
        <v>45750</v>
      </c>
      <c r="B150" s="36" t="s">
        <v>90</v>
      </c>
      <c r="C150" s="37">
        <v>100</v>
      </c>
      <c r="D150" s="37"/>
      <c r="E150" s="37">
        <v>100</v>
      </c>
    </row>
    <row r="151" spans="1:5" x14ac:dyDescent="0.25">
      <c r="A151" s="38">
        <v>45752</v>
      </c>
      <c r="B151" s="36" t="s">
        <v>90</v>
      </c>
      <c r="C151" s="37">
        <v>680</v>
      </c>
      <c r="D151" s="37"/>
      <c r="E151" s="37">
        <v>680</v>
      </c>
    </row>
    <row r="152" spans="1:5" x14ac:dyDescent="0.25">
      <c r="A152" s="38">
        <v>45752</v>
      </c>
      <c r="B152" s="36" t="s">
        <v>91</v>
      </c>
      <c r="C152" s="37">
        <v>50</v>
      </c>
      <c r="D152" s="37">
        <v>9.5950000000000006</v>
      </c>
      <c r="E152" s="37">
        <v>61.094999999999999</v>
      </c>
    </row>
    <row r="153" spans="1:5" x14ac:dyDescent="0.25">
      <c r="A153" s="38">
        <v>45752</v>
      </c>
      <c r="B153" s="36" t="s">
        <v>11</v>
      </c>
      <c r="C153" s="37">
        <v>175.392</v>
      </c>
      <c r="D153" s="37">
        <v>194.089</v>
      </c>
      <c r="E153" s="37">
        <v>178.40899999999999</v>
      </c>
    </row>
    <row r="154" spans="1:5" x14ac:dyDescent="0.25">
      <c r="A154" s="38">
        <v>45754</v>
      </c>
      <c r="B154" s="36" t="s">
        <v>93</v>
      </c>
      <c r="C154" s="37">
        <v>55818.487000000001</v>
      </c>
      <c r="D154" s="37">
        <v>10605.513000000001</v>
      </c>
      <c r="E154" s="37">
        <v>66990</v>
      </c>
    </row>
    <row r="155" spans="1:5" x14ac:dyDescent="0.25">
      <c r="A155" s="38"/>
      <c r="B155" s="36"/>
      <c r="C155" s="37"/>
      <c r="D155" s="37"/>
      <c r="E155" s="37"/>
    </row>
    <row r="156" spans="1:5" x14ac:dyDescent="0.25">
      <c r="A156" s="38">
        <v>45757</v>
      </c>
      <c r="B156" s="36" t="s">
        <v>94</v>
      </c>
      <c r="C156" s="37">
        <v>109.24</v>
      </c>
      <c r="D156" s="37">
        <v>20.756</v>
      </c>
      <c r="E156" s="37">
        <v>130.99600000000001</v>
      </c>
    </row>
    <row r="157" spans="1:5" x14ac:dyDescent="0.25">
      <c r="A157" s="38">
        <v>45757</v>
      </c>
      <c r="B157" s="36" t="s">
        <v>105</v>
      </c>
      <c r="C157" s="37"/>
      <c r="D157" s="37"/>
      <c r="E157" s="37">
        <v>42</v>
      </c>
    </row>
    <row r="158" spans="1:5" x14ac:dyDescent="0.25">
      <c r="A158" s="38">
        <v>45757</v>
      </c>
      <c r="B158" s="36" t="s">
        <v>106</v>
      </c>
      <c r="C158" s="37"/>
      <c r="D158" s="37"/>
      <c r="E158" s="37">
        <v>42</v>
      </c>
    </row>
    <row r="159" spans="1:5" x14ac:dyDescent="0.25">
      <c r="A159" s="51">
        <v>45754</v>
      </c>
      <c r="B159" s="52" t="s">
        <v>95</v>
      </c>
      <c r="C159" s="53">
        <v>226.05099999999999</v>
      </c>
      <c r="D159" s="53">
        <v>42.95</v>
      </c>
      <c r="E159" s="53">
        <v>270.00099999999998</v>
      </c>
    </row>
    <row r="160" spans="1:5" x14ac:dyDescent="0.25">
      <c r="A160" s="51">
        <v>45760</v>
      </c>
      <c r="B160" s="52" t="s">
        <v>96</v>
      </c>
      <c r="C160" s="53">
        <v>10.065</v>
      </c>
      <c r="D160" s="53">
        <v>0.63500000000000001</v>
      </c>
      <c r="E160" s="53">
        <v>10.7</v>
      </c>
    </row>
    <row r="161" spans="1:5" x14ac:dyDescent="0.25">
      <c r="A161" s="51">
        <v>45763</v>
      </c>
      <c r="B161" s="52" t="s">
        <v>97</v>
      </c>
      <c r="C161" s="53">
        <v>25.21</v>
      </c>
      <c r="D161" s="53">
        <v>4.79</v>
      </c>
      <c r="E161" s="53">
        <v>31</v>
      </c>
    </row>
    <row r="162" spans="1:5" x14ac:dyDescent="0.25">
      <c r="A162" s="38">
        <v>45761</v>
      </c>
      <c r="B162" s="36" t="s">
        <v>27</v>
      </c>
      <c r="C162" s="37">
        <v>61.073</v>
      </c>
      <c r="D162" s="37">
        <v>11.603999999999999</v>
      </c>
      <c r="E162" s="37">
        <v>73.677000000000007</v>
      </c>
    </row>
    <row r="163" spans="1:5" x14ac:dyDescent="0.25">
      <c r="A163" s="38">
        <v>45759</v>
      </c>
      <c r="B163" s="36" t="s">
        <v>98</v>
      </c>
      <c r="C163" s="37">
        <v>273.11</v>
      </c>
      <c r="D163" s="37">
        <v>52.890999999999998</v>
      </c>
      <c r="E163" s="37">
        <v>326.00099999999998</v>
      </c>
    </row>
    <row r="164" spans="1:5" x14ac:dyDescent="0.25">
      <c r="A164" s="38">
        <v>45759</v>
      </c>
      <c r="B164" s="36" t="s">
        <v>98</v>
      </c>
      <c r="C164" s="37">
        <v>819.33</v>
      </c>
      <c r="D164" s="37">
        <v>156.673</v>
      </c>
      <c r="E164" s="37">
        <v>976.00300000000004</v>
      </c>
    </row>
    <row r="165" spans="1:5" x14ac:dyDescent="0.25">
      <c r="A165" s="38">
        <v>45748</v>
      </c>
      <c r="B165" s="36" t="s">
        <v>33</v>
      </c>
      <c r="C165" s="37">
        <v>37.941000000000003</v>
      </c>
      <c r="D165" s="37">
        <v>1.4370000000000001</v>
      </c>
      <c r="E165" s="37">
        <v>42.505000000000003</v>
      </c>
    </row>
    <row r="166" spans="1:5" x14ac:dyDescent="0.25">
      <c r="A166" s="38">
        <v>45748</v>
      </c>
      <c r="B166" s="36" t="s">
        <v>33</v>
      </c>
      <c r="C166" s="37">
        <v>47.904000000000003</v>
      </c>
      <c r="D166" s="37">
        <v>9.1020000000000003</v>
      </c>
      <c r="E166" s="37">
        <v>60.945</v>
      </c>
    </row>
    <row r="167" spans="1:5" x14ac:dyDescent="0.25">
      <c r="A167" s="38">
        <v>45748</v>
      </c>
      <c r="B167" s="36" t="s">
        <v>33</v>
      </c>
      <c r="C167" s="37">
        <v>81.099000000000004</v>
      </c>
      <c r="D167" s="37">
        <v>15.409000000000001</v>
      </c>
      <c r="E167" s="37">
        <v>105.98</v>
      </c>
    </row>
    <row r="168" spans="1:5" x14ac:dyDescent="0.25">
      <c r="A168" s="38">
        <v>45762</v>
      </c>
      <c r="B168" s="36" t="s">
        <v>32</v>
      </c>
      <c r="C168" s="37">
        <v>5055</v>
      </c>
      <c r="D168" s="37">
        <v>960.45</v>
      </c>
      <c r="E168" s="37">
        <v>6038.21</v>
      </c>
    </row>
    <row r="169" spans="1:5" x14ac:dyDescent="0.25">
      <c r="A169" s="38">
        <v>45758</v>
      </c>
      <c r="B169" s="36" t="s">
        <v>61</v>
      </c>
      <c r="C169" s="37">
        <v>-668.8</v>
      </c>
      <c r="D169" s="37">
        <v>-127.072</v>
      </c>
      <c r="E169" s="37">
        <v>-794.87199999999996</v>
      </c>
    </row>
    <row r="170" spans="1:5" x14ac:dyDescent="0.25">
      <c r="A170" s="38">
        <v>45764</v>
      </c>
      <c r="B170" s="36" t="s">
        <v>27</v>
      </c>
      <c r="C170" s="37">
        <v>14.11</v>
      </c>
      <c r="D170" s="37">
        <v>8.3000000000000007</v>
      </c>
      <c r="E170" s="37">
        <v>17.791</v>
      </c>
    </row>
    <row r="171" spans="1:5" x14ac:dyDescent="0.25">
      <c r="A171" s="38">
        <v>45766</v>
      </c>
      <c r="B171" s="36" t="s">
        <v>45</v>
      </c>
      <c r="C171" s="37">
        <v>15156.807000000001</v>
      </c>
      <c r="D171" s="37">
        <v>2805.864</v>
      </c>
      <c r="E171" s="37">
        <v>17986.368999999999</v>
      </c>
    </row>
    <row r="172" spans="1:5" x14ac:dyDescent="0.25">
      <c r="A172" s="38">
        <v>45769</v>
      </c>
      <c r="B172" s="36" t="s">
        <v>100</v>
      </c>
      <c r="C172" s="37">
        <v>29.75</v>
      </c>
      <c r="D172" s="37">
        <v>5.6529999999999996</v>
      </c>
      <c r="E172" s="37">
        <v>36.402999999999999</v>
      </c>
    </row>
    <row r="173" spans="1:5" x14ac:dyDescent="0.25">
      <c r="A173" s="38">
        <v>45770</v>
      </c>
      <c r="B173" s="36" t="s">
        <v>101</v>
      </c>
      <c r="C173" s="37">
        <v>30</v>
      </c>
      <c r="D173" s="37">
        <v>5.7</v>
      </c>
      <c r="E173" s="37">
        <v>36.700000000000003</v>
      </c>
    </row>
    <row r="174" spans="1:5" x14ac:dyDescent="0.25">
      <c r="A174" s="38">
        <v>45770</v>
      </c>
      <c r="B174" s="36" t="s">
        <v>102</v>
      </c>
      <c r="C174" s="37">
        <v>48</v>
      </c>
      <c r="D174" s="37">
        <v>9.2110000000000003</v>
      </c>
      <c r="E174" s="37">
        <v>58.691000000000003</v>
      </c>
    </row>
    <row r="175" spans="1:5" x14ac:dyDescent="0.25">
      <c r="A175" s="38">
        <v>45770</v>
      </c>
      <c r="B175" s="36" t="s">
        <v>38</v>
      </c>
      <c r="C175" s="37">
        <v>247.339</v>
      </c>
      <c r="D175" s="37">
        <v>47.109000000000002</v>
      </c>
      <c r="E175" s="37">
        <v>296.048</v>
      </c>
    </row>
    <row r="176" spans="1:5" x14ac:dyDescent="0.25">
      <c r="A176" s="38">
        <v>45772</v>
      </c>
      <c r="B176" s="36" t="s">
        <v>103</v>
      </c>
      <c r="C176" s="37"/>
      <c r="D176" s="37"/>
      <c r="E176" s="37">
        <v>20</v>
      </c>
    </row>
    <row r="177" spans="1:1871" x14ac:dyDescent="0.25">
      <c r="A177" s="38">
        <v>45775</v>
      </c>
      <c r="B177" s="36" t="s">
        <v>27</v>
      </c>
      <c r="C177" s="37">
        <v>24.23</v>
      </c>
      <c r="D177" s="37">
        <v>3.9129999999999998</v>
      </c>
      <c r="E177" s="37">
        <v>25.507999999999999</v>
      </c>
    </row>
    <row r="178" spans="1:1871" x14ac:dyDescent="0.25">
      <c r="A178" s="38">
        <v>45763</v>
      </c>
      <c r="B178" s="36" t="s">
        <v>104</v>
      </c>
      <c r="C178" s="37"/>
      <c r="D178" s="37"/>
      <c r="E178" s="37">
        <v>195</v>
      </c>
    </row>
    <row r="179" spans="1:1871" x14ac:dyDescent="0.25">
      <c r="A179" s="38">
        <v>45770</v>
      </c>
      <c r="B179" s="36" t="s">
        <v>107</v>
      </c>
      <c r="C179" s="37">
        <v>52.68</v>
      </c>
      <c r="D179" s="37">
        <v>10.01</v>
      </c>
      <c r="E179" s="37">
        <v>63.69</v>
      </c>
    </row>
    <row r="180" spans="1:1871" x14ac:dyDescent="0.25">
      <c r="A180" s="38">
        <v>45764</v>
      </c>
      <c r="B180" s="36" t="s">
        <v>108</v>
      </c>
      <c r="C180" s="37"/>
      <c r="D180" s="37"/>
      <c r="E180" s="37">
        <v>43</v>
      </c>
    </row>
    <row r="181" spans="1:1871" x14ac:dyDescent="0.25">
      <c r="A181" s="38">
        <v>45775</v>
      </c>
      <c r="B181" s="36" t="s">
        <v>108</v>
      </c>
      <c r="C181" s="36">
        <v>23.529</v>
      </c>
      <c r="D181" s="37">
        <v>4.4710000000000001</v>
      </c>
      <c r="E181" s="37">
        <v>28</v>
      </c>
    </row>
    <row r="182" spans="1:1871" x14ac:dyDescent="0.25">
      <c r="A182" s="38">
        <v>45758</v>
      </c>
      <c r="B182" s="36" t="s">
        <v>38</v>
      </c>
      <c r="C182" s="37">
        <v>63.628999999999998</v>
      </c>
      <c r="D182" s="37">
        <v>12.089</v>
      </c>
      <c r="E182" s="37">
        <v>76.718000000000004</v>
      </c>
    </row>
    <row r="183" spans="1:1871" x14ac:dyDescent="0.25">
      <c r="A183" s="38">
        <v>45777</v>
      </c>
      <c r="B183" s="36" t="s">
        <v>99</v>
      </c>
      <c r="C183" s="37">
        <v>-1272.81</v>
      </c>
      <c r="D183" s="37">
        <v>-241.834</v>
      </c>
      <c r="E183" s="37">
        <v>-1513.644</v>
      </c>
    </row>
    <row r="184" spans="1:1871" s="31" customFormat="1" x14ac:dyDescent="0.25">
      <c r="A184" s="38">
        <v>45777</v>
      </c>
      <c r="B184" s="36" t="s">
        <v>6</v>
      </c>
      <c r="C184" s="37">
        <v>9180.7729999999992</v>
      </c>
      <c r="D184" s="37">
        <v>1783.867</v>
      </c>
      <c r="E184" s="37">
        <v>10965.64</v>
      </c>
    </row>
    <row r="185" spans="1:1871" s="31" customFormat="1" x14ac:dyDescent="0.25">
      <c r="A185" s="38">
        <v>45771</v>
      </c>
      <c r="B185" s="36" t="s">
        <v>123</v>
      </c>
      <c r="C185" s="37">
        <v>60.966000000000001</v>
      </c>
      <c r="D185" s="37">
        <v>5.6970000000000001</v>
      </c>
      <c r="E185" s="37">
        <v>67</v>
      </c>
    </row>
    <row r="186" spans="1:1871" x14ac:dyDescent="0.25">
      <c r="A186" s="38">
        <v>45777</v>
      </c>
      <c r="B186" s="36" t="s">
        <v>111</v>
      </c>
      <c r="C186" s="37">
        <v>4141.0020000000004</v>
      </c>
      <c r="D186" s="37">
        <v>560.37300000000005</v>
      </c>
      <c r="E186" s="37">
        <v>4701.375</v>
      </c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  <c r="BS186" s="31"/>
      <c r="BT186" s="31"/>
      <c r="BU186" s="31"/>
      <c r="BV186" s="31"/>
      <c r="BW186" s="31"/>
      <c r="BX186" s="31"/>
      <c r="BY186" s="31"/>
      <c r="BZ186" s="31"/>
      <c r="CA186" s="31"/>
      <c r="CB186" s="31"/>
      <c r="CC186" s="31"/>
      <c r="CD186" s="31"/>
      <c r="CE186" s="31"/>
      <c r="CF186" s="31"/>
      <c r="CG186" s="31"/>
      <c r="CH186" s="31"/>
      <c r="CI186" s="31"/>
      <c r="CJ186" s="31"/>
      <c r="CK186" s="31"/>
      <c r="CL186" s="31"/>
      <c r="CM186" s="31"/>
      <c r="CN186" s="31"/>
      <c r="CO186" s="31"/>
      <c r="CP186" s="31"/>
      <c r="CQ186" s="31"/>
      <c r="CR186" s="31"/>
      <c r="CS186" s="31"/>
      <c r="CT186" s="31"/>
      <c r="CU186" s="31"/>
      <c r="CV186" s="31"/>
      <c r="CW186" s="31"/>
      <c r="CX186" s="31"/>
      <c r="CY186" s="31"/>
      <c r="CZ186" s="31"/>
      <c r="DA186" s="31"/>
      <c r="DB186" s="31"/>
      <c r="DC186" s="31"/>
      <c r="DD186" s="31"/>
      <c r="DE186" s="31"/>
      <c r="DF186" s="31"/>
      <c r="DG186" s="31"/>
      <c r="DH186" s="31"/>
      <c r="DI186" s="31"/>
      <c r="DJ186" s="31"/>
      <c r="DK186" s="31"/>
      <c r="DL186" s="31"/>
      <c r="DM186" s="31"/>
      <c r="DN186" s="31"/>
      <c r="DO186" s="31"/>
      <c r="DP186" s="31"/>
      <c r="DQ186" s="31"/>
      <c r="DR186" s="31"/>
      <c r="DS186" s="31"/>
      <c r="DT186" s="31"/>
      <c r="DU186" s="31"/>
      <c r="DV186" s="31"/>
      <c r="DW186" s="31"/>
      <c r="DX186" s="31"/>
      <c r="DY186" s="31"/>
      <c r="DZ186" s="31"/>
      <c r="EA186" s="31"/>
      <c r="EB186" s="31"/>
      <c r="EC186" s="31"/>
      <c r="ED186" s="31"/>
      <c r="EE186" s="31"/>
      <c r="EF186" s="31"/>
      <c r="EG186" s="31"/>
      <c r="EH186" s="31"/>
      <c r="EI186" s="31"/>
      <c r="EJ186" s="31"/>
      <c r="EK186" s="31"/>
      <c r="EL186" s="31"/>
      <c r="EM186" s="31"/>
      <c r="EN186" s="31"/>
      <c r="EO186" s="31"/>
      <c r="EP186" s="31"/>
      <c r="EQ186" s="31"/>
      <c r="ER186" s="31"/>
      <c r="ES186" s="31"/>
      <c r="ET186" s="31"/>
      <c r="EU186" s="31"/>
      <c r="EV186" s="31"/>
      <c r="EW186" s="31"/>
      <c r="EX186" s="31"/>
      <c r="EY186" s="31"/>
      <c r="EZ186" s="31"/>
      <c r="FA186" s="31"/>
      <c r="FB186" s="31"/>
      <c r="FC186" s="31"/>
      <c r="FD186" s="31"/>
      <c r="FE186" s="31"/>
      <c r="FF186" s="31"/>
      <c r="FG186" s="31"/>
      <c r="FH186" s="31"/>
      <c r="FI186" s="31"/>
      <c r="FJ186" s="31"/>
      <c r="FK186" s="31"/>
      <c r="FL186" s="31"/>
      <c r="FM186" s="31"/>
      <c r="FN186" s="31"/>
      <c r="FO186" s="31"/>
      <c r="FP186" s="31"/>
      <c r="FQ186" s="31"/>
      <c r="FR186" s="31"/>
      <c r="FS186" s="31"/>
      <c r="FT186" s="31"/>
      <c r="FU186" s="31"/>
      <c r="FV186" s="31"/>
      <c r="FW186" s="31"/>
      <c r="FX186" s="31"/>
      <c r="FY186" s="31"/>
      <c r="FZ186" s="31"/>
      <c r="GA186" s="31"/>
      <c r="GB186" s="31"/>
      <c r="GC186" s="31"/>
      <c r="GD186" s="31"/>
      <c r="GE186" s="31"/>
      <c r="GF186" s="31"/>
      <c r="GG186" s="31"/>
      <c r="GH186" s="31"/>
      <c r="GI186" s="31"/>
      <c r="GJ186" s="31"/>
      <c r="GK186" s="31"/>
      <c r="GL186" s="31"/>
      <c r="GM186" s="31"/>
      <c r="GN186" s="31"/>
      <c r="GO186" s="31"/>
      <c r="GP186" s="31"/>
      <c r="GQ186" s="31"/>
      <c r="GR186" s="31"/>
      <c r="GS186" s="31"/>
      <c r="GT186" s="31"/>
      <c r="GU186" s="31"/>
      <c r="GV186" s="31"/>
      <c r="GW186" s="31"/>
      <c r="GX186" s="31"/>
      <c r="GY186" s="31"/>
      <c r="GZ186" s="31"/>
      <c r="HA186" s="31"/>
      <c r="HB186" s="31"/>
      <c r="HC186" s="31"/>
      <c r="HD186" s="31"/>
      <c r="HE186" s="31"/>
      <c r="HF186" s="31"/>
      <c r="HG186" s="31"/>
      <c r="HH186" s="31"/>
      <c r="HI186" s="31"/>
      <c r="HJ186" s="31"/>
      <c r="HK186" s="31"/>
      <c r="HL186" s="31"/>
      <c r="HM186" s="31"/>
      <c r="HN186" s="31"/>
      <c r="HO186" s="31"/>
      <c r="HP186" s="31"/>
      <c r="HQ186" s="31"/>
      <c r="HR186" s="31"/>
      <c r="HS186" s="31"/>
      <c r="HT186" s="31"/>
      <c r="HU186" s="31"/>
      <c r="HV186" s="31"/>
      <c r="HW186" s="31"/>
      <c r="HX186" s="31"/>
      <c r="HY186" s="31"/>
      <c r="HZ186" s="31"/>
      <c r="IA186" s="31"/>
      <c r="IB186" s="31"/>
      <c r="IC186" s="31"/>
      <c r="ID186" s="31"/>
      <c r="IE186" s="31"/>
      <c r="IF186" s="31"/>
      <c r="IG186" s="31"/>
      <c r="IH186" s="31"/>
      <c r="II186" s="31"/>
      <c r="IJ186" s="31"/>
      <c r="IK186" s="31"/>
      <c r="IL186" s="31"/>
      <c r="IM186" s="31"/>
      <c r="IN186" s="31"/>
      <c r="IO186" s="31"/>
      <c r="IP186" s="31"/>
      <c r="IQ186" s="31"/>
      <c r="IR186" s="31"/>
      <c r="IS186" s="31"/>
      <c r="IT186" s="31"/>
      <c r="IU186" s="31"/>
      <c r="IV186" s="31"/>
      <c r="IW186" s="31"/>
      <c r="IX186" s="31"/>
      <c r="IY186" s="31"/>
      <c r="IZ186" s="31"/>
      <c r="JA186" s="31"/>
      <c r="JB186" s="31"/>
      <c r="JC186" s="31"/>
      <c r="JD186" s="31"/>
      <c r="JE186" s="31"/>
      <c r="JF186" s="31"/>
      <c r="JG186" s="31"/>
      <c r="JH186" s="31"/>
      <c r="JI186" s="31"/>
      <c r="JJ186" s="31"/>
      <c r="JK186" s="31"/>
      <c r="JL186" s="31"/>
      <c r="JM186" s="31"/>
      <c r="JN186" s="31"/>
      <c r="JO186" s="31"/>
      <c r="JP186" s="31"/>
      <c r="JQ186" s="31"/>
      <c r="JR186" s="31"/>
      <c r="JS186" s="31"/>
      <c r="JT186" s="31"/>
      <c r="JU186" s="31"/>
      <c r="JV186" s="31"/>
      <c r="JW186" s="31"/>
      <c r="JX186" s="31"/>
      <c r="JY186" s="31"/>
      <c r="JZ186" s="31"/>
      <c r="KA186" s="31"/>
      <c r="KB186" s="31"/>
      <c r="KC186" s="31"/>
      <c r="KD186" s="31"/>
      <c r="KE186" s="31"/>
      <c r="KF186" s="31"/>
      <c r="KG186" s="31"/>
      <c r="KH186" s="31"/>
      <c r="KI186" s="31"/>
      <c r="KJ186" s="31"/>
      <c r="KK186" s="31"/>
      <c r="KL186" s="31"/>
      <c r="KM186" s="31"/>
      <c r="KN186" s="31"/>
      <c r="KO186" s="31"/>
      <c r="KP186" s="31"/>
      <c r="KQ186" s="31"/>
      <c r="KR186" s="31"/>
      <c r="KS186" s="31"/>
      <c r="KT186" s="31"/>
      <c r="KU186" s="31"/>
      <c r="KV186" s="31"/>
      <c r="KW186" s="31"/>
      <c r="KX186" s="31"/>
      <c r="KY186" s="31"/>
      <c r="KZ186" s="31"/>
      <c r="LA186" s="31"/>
      <c r="LB186" s="31"/>
      <c r="LC186" s="31"/>
      <c r="LD186" s="31"/>
      <c r="LE186" s="31"/>
      <c r="LF186" s="31"/>
      <c r="LG186" s="31"/>
      <c r="LH186" s="31"/>
      <c r="LI186" s="31"/>
      <c r="LJ186" s="31"/>
      <c r="LK186" s="31"/>
      <c r="LL186" s="31"/>
      <c r="LM186" s="31"/>
      <c r="LN186" s="31"/>
      <c r="LO186" s="31"/>
      <c r="LP186" s="31"/>
      <c r="LQ186" s="31"/>
      <c r="LR186" s="31"/>
      <c r="LS186" s="31"/>
      <c r="LT186" s="31"/>
      <c r="LU186" s="31"/>
      <c r="LV186" s="31"/>
      <c r="LW186" s="31"/>
      <c r="LX186" s="31"/>
      <c r="LY186" s="31"/>
      <c r="LZ186" s="31"/>
      <c r="MA186" s="31"/>
      <c r="MB186" s="31"/>
      <c r="MC186" s="31"/>
      <c r="MD186" s="31"/>
      <c r="ME186" s="31"/>
      <c r="MF186" s="31"/>
      <c r="MG186" s="31"/>
      <c r="MH186" s="31"/>
      <c r="MI186" s="31"/>
      <c r="MJ186" s="31"/>
      <c r="MK186" s="31"/>
      <c r="ML186" s="31"/>
      <c r="MM186" s="31"/>
      <c r="MN186" s="31"/>
      <c r="MO186" s="31"/>
      <c r="MP186" s="31"/>
      <c r="MQ186" s="31"/>
      <c r="MR186" s="31"/>
      <c r="MS186" s="31"/>
      <c r="MT186" s="31"/>
      <c r="MU186" s="31"/>
      <c r="MV186" s="31"/>
      <c r="MW186" s="31"/>
      <c r="MX186" s="31"/>
      <c r="MY186" s="31"/>
      <c r="MZ186" s="31"/>
      <c r="NA186" s="31"/>
      <c r="NB186" s="31"/>
      <c r="NC186" s="31"/>
      <c r="ND186" s="31"/>
      <c r="NE186" s="31"/>
      <c r="NF186" s="31"/>
      <c r="NG186" s="31"/>
      <c r="NH186" s="31"/>
      <c r="NI186" s="31"/>
      <c r="NJ186" s="31"/>
      <c r="NK186" s="31"/>
      <c r="NL186" s="31"/>
      <c r="NM186" s="31"/>
      <c r="NN186" s="31"/>
      <c r="NO186" s="31"/>
      <c r="NP186" s="31"/>
      <c r="NQ186" s="31"/>
      <c r="NR186" s="31"/>
      <c r="NS186" s="31"/>
      <c r="NT186" s="31"/>
      <c r="NU186" s="31"/>
      <c r="NV186" s="31"/>
      <c r="NW186" s="31"/>
      <c r="NX186" s="31"/>
      <c r="NY186" s="31"/>
      <c r="NZ186" s="31"/>
      <c r="OA186" s="31"/>
      <c r="OB186" s="31"/>
      <c r="OC186" s="31"/>
      <c r="OD186" s="31"/>
      <c r="OE186" s="31"/>
      <c r="OF186" s="31"/>
      <c r="OG186" s="31"/>
      <c r="OH186" s="31"/>
      <c r="OI186" s="31"/>
      <c r="OJ186" s="31"/>
      <c r="OK186" s="31"/>
      <c r="OL186" s="31"/>
      <c r="OM186" s="31"/>
      <c r="ON186" s="31"/>
      <c r="OO186" s="31"/>
      <c r="OP186" s="31"/>
      <c r="OQ186" s="31"/>
      <c r="OR186" s="31"/>
      <c r="OS186" s="31"/>
      <c r="OT186" s="31"/>
      <c r="OU186" s="31"/>
      <c r="OV186" s="31"/>
      <c r="OW186" s="31"/>
      <c r="OX186" s="31"/>
      <c r="OY186" s="31"/>
      <c r="OZ186" s="31"/>
      <c r="PA186" s="31"/>
      <c r="PB186" s="31"/>
      <c r="PC186" s="31"/>
      <c r="PD186" s="31"/>
      <c r="PE186" s="31"/>
      <c r="PF186" s="31"/>
      <c r="PG186" s="31"/>
      <c r="PH186" s="31"/>
      <c r="PI186" s="31"/>
      <c r="PJ186" s="31"/>
      <c r="PK186" s="31"/>
      <c r="PL186" s="31"/>
      <c r="PM186" s="31"/>
      <c r="PN186" s="31"/>
      <c r="PO186" s="31"/>
      <c r="PP186" s="31"/>
      <c r="PQ186" s="31"/>
      <c r="PR186" s="31"/>
      <c r="PS186" s="31"/>
      <c r="PT186" s="31"/>
      <c r="PU186" s="31"/>
      <c r="PV186" s="31"/>
      <c r="PW186" s="31"/>
      <c r="PX186" s="31"/>
      <c r="PY186" s="31"/>
      <c r="PZ186" s="31"/>
      <c r="QA186" s="31"/>
      <c r="QB186" s="31"/>
      <c r="QC186" s="31"/>
      <c r="QD186" s="31"/>
      <c r="QE186" s="31"/>
      <c r="QF186" s="31"/>
      <c r="QG186" s="31"/>
      <c r="QH186" s="31"/>
      <c r="QI186" s="31"/>
      <c r="QJ186" s="31"/>
      <c r="QK186" s="31"/>
      <c r="QL186" s="31"/>
      <c r="QM186" s="31"/>
      <c r="QN186" s="31"/>
      <c r="QO186" s="31"/>
      <c r="QP186" s="31"/>
      <c r="QQ186" s="31"/>
      <c r="QR186" s="31"/>
      <c r="QS186" s="31"/>
      <c r="QT186" s="31"/>
      <c r="QU186" s="31"/>
      <c r="QV186" s="31"/>
      <c r="QW186" s="31"/>
      <c r="QX186" s="31"/>
      <c r="QY186" s="31"/>
      <c r="QZ186" s="31"/>
      <c r="RA186" s="31"/>
      <c r="RB186" s="31"/>
      <c r="RC186" s="31"/>
      <c r="RD186" s="31"/>
      <c r="RE186" s="31"/>
      <c r="RF186" s="31"/>
      <c r="RG186" s="31"/>
      <c r="RH186" s="31"/>
      <c r="RI186" s="31"/>
      <c r="RJ186" s="31"/>
      <c r="RK186" s="31"/>
      <c r="RL186" s="31"/>
      <c r="RM186" s="31"/>
      <c r="RN186" s="31"/>
      <c r="RO186" s="31"/>
      <c r="RP186" s="31"/>
      <c r="RQ186" s="31"/>
      <c r="RR186" s="31"/>
      <c r="RS186" s="31"/>
      <c r="RT186" s="31"/>
      <c r="RU186" s="31"/>
      <c r="RV186" s="31"/>
      <c r="RW186" s="31"/>
      <c r="RX186" s="31"/>
      <c r="RY186" s="31"/>
      <c r="RZ186" s="31"/>
      <c r="SA186" s="31"/>
      <c r="SB186" s="31"/>
      <c r="SC186" s="31"/>
      <c r="SD186" s="31"/>
      <c r="SE186" s="31"/>
      <c r="SF186" s="31"/>
      <c r="SG186" s="31"/>
      <c r="SH186" s="31"/>
      <c r="SI186" s="31"/>
      <c r="SJ186" s="31"/>
      <c r="SK186" s="31"/>
      <c r="SL186" s="31"/>
      <c r="SM186" s="31"/>
      <c r="SN186" s="31"/>
      <c r="SO186" s="31"/>
      <c r="SP186" s="31"/>
      <c r="SQ186" s="31"/>
      <c r="SR186" s="31"/>
      <c r="SS186" s="31"/>
      <c r="ST186" s="31"/>
      <c r="SU186" s="31"/>
      <c r="SV186" s="31"/>
      <c r="SW186" s="31"/>
      <c r="SX186" s="31"/>
      <c r="SY186" s="31"/>
      <c r="SZ186" s="31"/>
      <c r="TA186" s="31"/>
      <c r="TB186" s="31"/>
      <c r="TC186" s="31"/>
      <c r="TD186" s="31"/>
      <c r="TE186" s="31"/>
      <c r="TF186" s="31"/>
      <c r="TG186" s="31"/>
      <c r="TH186" s="31"/>
      <c r="TI186" s="31"/>
      <c r="TJ186" s="31"/>
      <c r="TK186" s="31"/>
      <c r="TL186" s="31"/>
      <c r="TM186" s="31"/>
      <c r="TN186" s="31"/>
      <c r="TO186" s="31"/>
      <c r="TP186" s="31"/>
      <c r="TQ186" s="31"/>
      <c r="TR186" s="31"/>
      <c r="TS186" s="31"/>
      <c r="TT186" s="31"/>
      <c r="TU186" s="31"/>
      <c r="TV186" s="31"/>
      <c r="TW186" s="31"/>
      <c r="TX186" s="31"/>
      <c r="TY186" s="31"/>
      <c r="TZ186" s="31"/>
      <c r="UA186" s="31"/>
      <c r="UB186" s="31"/>
      <c r="UC186" s="31"/>
      <c r="UD186" s="31"/>
      <c r="UE186" s="31"/>
      <c r="UF186" s="31"/>
      <c r="UG186" s="31"/>
      <c r="UH186" s="31"/>
      <c r="UI186" s="31"/>
      <c r="UJ186" s="31"/>
      <c r="UK186" s="31"/>
      <c r="UL186" s="31"/>
      <c r="UM186" s="31"/>
      <c r="UN186" s="31"/>
      <c r="UO186" s="31"/>
      <c r="UP186" s="31"/>
      <c r="UQ186" s="31"/>
      <c r="UR186" s="31"/>
      <c r="US186" s="31"/>
      <c r="UT186" s="31"/>
      <c r="UU186" s="31"/>
      <c r="UV186" s="31"/>
      <c r="UW186" s="31"/>
      <c r="UX186" s="31"/>
      <c r="UY186" s="31"/>
      <c r="UZ186" s="31"/>
      <c r="VA186" s="31"/>
      <c r="VB186" s="31"/>
      <c r="VC186" s="31"/>
      <c r="VD186" s="31"/>
      <c r="VE186" s="31"/>
      <c r="VF186" s="31"/>
      <c r="VG186" s="31"/>
      <c r="VH186" s="31"/>
      <c r="VI186" s="31"/>
      <c r="VJ186" s="31"/>
      <c r="VK186" s="31"/>
      <c r="VL186" s="31"/>
      <c r="VM186" s="31"/>
      <c r="VN186" s="31"/>
      <c r="VO186" s="31"/>
      <c r="VP186" s="31"/>
      <c r="VQ186" s="31"/>
      <c r="VR186" s="31"/>
      <c r="VS186" s="31"/>
      <c r="VT186" s="31"/>
      <c r="VU186" s="31"/>
      <c r="VV186" s="31"/>
      <c r="VW186" s="31"/>
      <c r="VX186" s="31"/>
      <c r="VY186" s="31"/>
      <c r="VZ186" s="31"/>
      <c r="WA186" s="31"/>
      <c r="WB186" s="31"/>
      <c r="WC186" s="31"/>
      <c r="WD186" s="31"/>
      <c r="WE186" s="31"/>
      <c r="WF186" s="31"/>
      <c r="WG186" s="31"/>
      <c r="WH186" s="31"/>
      <c r="WI186" s="31"/>
      <c r="WJ186" s="31"/>
      <c r="WK186" s="31"/>
      <c r="WL186" s="31"/>
      <c r="WM186" s="31"/>
      <c r="WN186" s="31"/>
      <c r="WO186" s="31"/>
      <c r="WP186" s="31"/>
      <c r="WQ186" s="31"/>
      <c r="WR186" s="31"/>
      <c r="WS186" s="31"/>
      <c r="WT186" s="31"/>
      <c r="WU186" s="31"/>
      <c r="WV186" s="31"/>
      <c r="WW186" s="31"/>
      <c r="WX186" s="31"/>
      <c r="WY186" s="31"/>
      <c r="WZ186" s="31"/>
      <c r="XA186" s="31"/>
      <c r="XB186" s="31"/>
      <c r="XC186" s="31"/>
      <c r="XD186" s="31"/>
      <c r="XE186" s="31"/>
      <c r="XF186" s="31"/>
      <c r="XG186" s="31"/>
      <c r="XH186" s="31"/>
      <c r="XI186" s="31"/>
      <c r="XJ186" s="31"/>
      <c r="XK186" s="31"/>
      <c r="XL186" s="31"/>
      <c r="XM186" s="31"/>
      <c r="XN186" s="31"/>
      <c r="XO186" s="31"/>
      <c r="XP186" s="31"/>
      <c r="XQ186" s="31"/>
      <c r="XR186" s="31"/>
      <c r="XS186" s="31"/>
      <c r="XT186" s="31"/>
      <c r="XU186" s="31"/>
      <c r="XV186" s="31"/>
      <c r="XW186" s="31"/>
      <c r="XX186" s="31"/>
      <c r="XY186" s="31"/>
      <c r="XZ186" s="31"/>
      <c r="YA186" s="31"/>
      <c r="YB186" s="31"/>
      <c r="YC186" s="31"/>
      <c r="YD186" s="31"/>
      <c r="YE186" s="31"/>
      <c r="YF186" s="31"/>
      <c r="YG186" s="31"/>
      <c r="YH186" s="31"/>
      <c r="YI186" s="31"/>
      <c r="YJ186" s="31"/>
      <c r="YK186" s="31"/>
      <c r="YL186" s="31"/>
      <c r="YM186" s="31"/>
      <c r="YN186" s="31"/>
      <c r="YO186" s="31"/>
      <c r="YP186" s="31"/>
      <c r="YQ186" s="31"/>
      <c r="YR186" s="31"/>
      <c r="YS186" s="31"/>
      <c r="YT186" s="31"/>
      <c r="YU186" s="31"/>
      <c r="YV186" s="31"/>
      <c r="YW186" s="31"/>
      <c r="YX186" s="31"/>
      <c r="YY186" s="31"/>
      <c r="YZ186" s="31"/>
      <c r="ZA186" s="31"/>
      <c r="ZB186" s="31"/>
      <c r="ZC186" s="31"/>
      <c r="ZD186" s="31"/>
      <c r="ZE186" s="31"/>
      <c r="ZF186" s="31"/>
      <c r="ZG186" s="31"/>
      <c r="ZH186" s="31"/>
      <c r="ZI186" s="31"/>
      <c r="ZJ186" s="31"/>
      <c r="ZK186" s="31"/>
      <c r="ZL186" s="31"/>
      <c r="ZM186" s="31"/>
      <c r="ZN186" s="31"/>
      <c r="ZO186" s="31"/>
      <c r="ZP186" s="31"/>
      <c r="ZQ186" s="31"/>
      <c r="ZR186" s="31"/>
      <c r="ZS186" s="31"/>
      <c r="ZT186" s="31"/>
      <c r="ZU186" s="31"/>
      <c r="ZV186" s="31"/>
      <c r="ZW186" s="31"/>
      <c r="ZX186" s="31"/>
      <c r="ZY186" s="31"/>
      <c r="ZZ186" s="31"/>
      <c r="AAA186" s="31"/>
      <c r="AAB186" s="31"/>
      <c r="AAC186" s="31"/>
      <c r="AAD186" s="31"/>
      <c r="AAE186" s="31"/>
      <c r="AAF186" s="31"/>
      <c r="AAG186" s="31"/>
      <c r="AAH186" s="31"/>
      <c r="AAI186" s="31"/>
      <c r="AAJ186" s="31"/>
      <c r="AAK186" s="31"/>
      <c r="AAL186" s="31"/>
      <c r="AAM186" s="31"/>
      <c r="AAN186" s="31"/>
      <c r="AAO186" s="31"/>
      <c r="AAP186" s="31"/>
      <c r="AAQ186" s="31"/>
      <c r="AAR186" s="31"/>
      <c r="AAS186" s="31"/>
      <c r="AAT186" s="31"/>
      <c r="AAU186" s="31"/>
      <c r="AAV186" s="31"/>
      <c r="AAW186" s="31"/>
      <c r="AAX186" s="31"/>
      <c r="AAY186" s="31"/>
      <c r="AAZ186" s="31"/>
      <c r="ABA186" s="31"/>
      <c r="ABB186" s="31"/>
      <c r="ABC186" s="31"/>
      <c r="ABD186" s="31"/>
      <c r="ABE186" s="31"/>
      <c r="ABF186" s="31"/>
      <c r="ABG186" s="31"/>
      <c r="ABH186" s="31"/>
      <c r="ABI186" s="31"/>
      <c r="ABJ186" s="31"/>
      <c r="ABK186" s="31"/>
      <c r="ABL186" s="31"/>
      <c r="ABM186" s="31"/>
      <c r="ABN186" s="31"/>
      <c r="ABO186" s="31"/>
      <c r="ABP186" s="31"/>
      <c r="ABQ186" s="31"/>
      <c r="ABR186" s="31"/>
      <c r="ABS186" s="31"/>
      <c r="ABT186" s="31"/>
      <c r="ABU186" s="31"/>
      <c r="ABV186" s="31"/>
      <c r="ABW186" s="31"/>
      <c r="ABX186" s="31"/>
      <c r="ABY186" s="31"/>
      <c r="ABZ186" s="31"/>
      <c r="ACA186" s="31"/>
      <c r="ACB186" s="31"/>
      <c r="ACC186" s="31"/>
      <c r="ACD186" s="31"/>
      <c r="ACE186" s="31"/>
      <c r="ACF186" s="31"/>
      <c r="ACG186" s="31"/>
      <c r="ACH186" s="31"/>
      <c r="ACI186" s="31"/>
      <c r="ACJ186" s="31"/>
      <c r="ACK186" s="31"/>
      <c r="ACL186" s="31"/>
      <c r="ACM186" s="31"/>
      <c r="ACN186" s="31"/>
      <c r="ACO186" s="31"/>
      <c r="ACP186" s="31"/>
      <c r="ACQ186" s="31"/>
      <c r="ACR186" s="31"/>
      <c r="ACS186" s="31"/>
      <c r="ACT186" s="31"/>
      <c r="ACU186" s="31"/>
      <c r="ACV186" s="31"/>
      <c r="ACW186" s="31"/>
      <c r="ACX186" s="31"/>
      <c r="ACY186" s="31"/>
      <c r="ACZ186" s="31"/>
      <c r="ADA186" s="31"/>
      <c r="ADB186" s="31"/>
      <c r="ADC186" s="31"/>
      <c r="ADD186" s="31"/>
      <c r="ADE186" s="31"/>
      <c r="ADF186" s="31"/>
      <c r="ADG186" s="31"/>
      <c r="ADH186" s="31"/>
      <c r="ADI186" s="31"/>
      <c r="ADJ186" s="31"/>
      <c r="ADK186" s="31"/>
      <c r="ADL186" s="31"/>
      <c r="ADM186" s="31"/>
      <c r="ADN186" s="31"/>
      <c r="ADO186" s="31"/>
      <c r="ADP186" s="31"/>
      <c r="ADQ186" s="31"/>
      <c r="ADR186" s="31"/>
      <c r="ADS186" s="31"/>
      <c r="ADT186" s="31"/>
      <c r="ADU186" s="31"/>
      <c r="ADV186" s="31"/>
      <c r="ADW186" s="31"/>
      <c r="ADX186" s="31"/>
      <c r="ADY186" s="31"/>
      <c r="ADZ186" s="31"/>
      <c r="AEA186" s="31"/>
      <c r="AEB186" s="31"/>
      <c r="AEC186" s="31"/>
      <c r="AED186" s="31"/>
      <c r="AEE186" s="31"/>
      <c r="AEF186" s="31"/>
      <c r="AEG186" s="31"/>
      <c r="AEH186" s="31"/>
      <c r="AEI186" s="31"/>
      <c r="AEJ186" s="31"/>
      <c r="AEK186" s="31"/>
      <c r="AEL186" s="31"/>
      <c r="AEM186" s="31"/>
      <c r="AEN186" s="31"/>
      <c r="AEO186" s="31"/>
      <c r="AEP186" s="31"/>
      <c r="AEQ186" s="31"/>
      <c r="AER186" s="31"/>
      <c r="AES186" s="31"/>
      <c r="AET186" s="31"/>
      <c r="AEU186" s="31"/>
      <c r="AEV186" s="31"/>
      <c r="AEW186" s="31"/>
      <c r="AEX186" s="31"/>
      <c r="AEY186" s="31"/>
      <c r="AEZ186" s="31"/>
      <c r="AFA186" s="31"/>
      <c r="AFB186" s="31"/>
      <c r="AFC186" s="31"/>
      <c r="AFD186" s="31"/>
      <c r="AFE186" s="31"/>
      <c r="AFF186" s="31"/>
      <c r="AFG186" s="31"/>
      <c r="AFH186" s="31"/>
      <c r="AFI186" s="31"/>
      <c r="AFJ186" s="31"/>
      <c r="AFK186" s="31"/>
      <c r="AFL186" s="31"/>
      <c r="AFM186" s="31"/>
      <c r="AFN186" s="31"/>
      <c r="AFO186" s="31"/>
      <c r="AFP186" s="31"/>
      <c r="AFQ186" s="31"/>
      <c r="AFR186" s="31"/>
      <c r="AFS186" s="31"/>
      <c r="AFT186" s="31"/>
      <c r="AFU186" s="31"/>
      <c r="AFV186" s="31"/>
      <c r="AFW186" s="31"/>
      <c r="AFX186" s="31"/>
      <c r="AFY186" s="31"/>
      <c r="AFZ186" s="31"/>
      <c r="AGA186" s="31"/>
      <c r="AGB186" s="31"/>
      <c r="AGC186" s="31"/>
      <c r="AGD186" s="31"/>
      <c r="AGE186" s="31"/>
      <c r="AGF186" s="31"/>
      <c r="AGG186" s="31"/>
      <c r="AGH186" s="31"/>
      <c r="AGI186" s="31"/>
      <c r="AGJ186" s="31"/>
      <c r="AGK186" s="31"/>
      <c r="AGL186" s="31"/>
      <c r="AGM186" s="31"/>
      <c r="AGN186" s="31"/>
      <c r="AGO186" s="31"/>
      <c r="AGP186" s="31"/>
      <c r="AGQ186" s="31"/>
      <c r="AGR186" s="31"/>
      <c r="AGS186" s="31"/>
      <c r="AGT186" s="31"/>
      <c r="AGU186" s="31"/>
      <c r="AGV186" s="31"/>
      <c r="AGW186" s="31"/>
      <c r="AGX186" s="31"/>
      <c r="AGY186" s="31"/>
      <c r="AGZ186" s="31"/>
      <c r="AHA186" s="31"/>
      <c r="AHB186" s="31"/>
      <c r="AHC186" s="31"/>
      <c r="AHD186" s="31"/>
      <c r="AHE186" s="31"/>
      <c r="AHF186" s="31"/>
      <c r="AHG186" s="31"/>
      <c r="AHH186" s="31"/>
      <c r="AHI186" s="31"/>
      <c r="AHJ186" s="31"/>
      <c r="AHK186" s="31"/>
      <c r="AHL186" s="31"/>
      <c r="AHM186" s="31"/>
      <c r="AHN186" s="31"/>
      <c r="AHO186" s="31"/>
      <c r="AHP186" s="31"/>
      <c r="AHQ186" s="31"/>
      <c r="AHR186" s="31"/>
      <c r="AHS186" s="31"/>
      <c r="AHT186" s="31"/>
      <c r="AHU186" s="31"/>
      <c r="AHV186" s="31"/>
      <c r="AHW186" s="31"/>
      <c r="AHX186" s="31"/>
      <c r="AHY186" s="31"/>
      <c r="AHZ186" s="31"/>
      <c r="AIA186" s="31"/>
      <c r="AIB186" s="31"/>
      <c r="AIC186" s="31"/>
      <c r="AID186" s="31"/>
      <c r="AIE186" s="31"/>
      <c r="AIF186" s="31"/>
      <c r="AIG186" s="31"/>
      <c r="AIH186" s="31"/>
      <c r="AII186" s="31"/>
      <c r="AIJ186" s="31"/>
      <c r="AIK186" s="31"/>
      <c r="AIL186" s="31"/>
      <c r="AIM186" s="31"/>
      <c r="AIN186" s="31"/>
      <c r="AIO186" s="31"/>
      <c r="AIP186" s="31"/>
      <c r="AIQ186" s="31"/>
      <c r="AIR186" s="31"/>
      <c r="AIS186" s="31"/>
      <c r="AIT186" s="31"/>
      <c r="AIU186" s="31"/>
      <c r="AIV186" s="31"/>
      <c r="AIW186" s="31"/>
      <c r="AIX186" s="31"/>
      <c r="AIY186" s="31"/>
      <c r="AIZ186" s="31"/>
      <c r="AJA186" s="31"/>
      <c r="AJB186" s="31"/>
      <c r="AJC186" s="31"/>
      <c r="AJD186" s="31"/>
      <c r="AJE186" s="31"/>
      <c r="AJF186" s="31"/>
      <c r="AJG186" s="31"/>
      <c r="AJH186" s="31"/>
      <c r="AJI186" s="31"/>
      <c r="AJJ186" s="31"/>
      <c r="AJK186" s="31"/>
      <c r="AJL186" s="31"/>
      <c r="AJM186" s="31"/>
      <c r="AJN186" s="31"/>
      <c r="AJO186" s="31"/>
      <c r="AJP186" s="31"/>
      <c r="AJQ186" s="31"/>
      <c r="AJR186" s="31"/>
      <c r="AJS186" s="31"/>
      <c r="AJT186" s="31"/>
      <c r="AJU186" s="31"/>
      <c r="AJV186" s="31"/>
      <c r="AJW186" s="31"/>
      <c r="AJX186" s="31"/>
      <c r="AJY186" s="31"/>
      <c r="AJZ186" s="31"/>
      <c r="AKA186" s="31"/>
      <c r="AKB186" s="31"/>
      <c r="AKC186" s="31"/>
      <c r="AKD186" s="31"/>
      <c r="AKE186" s="31"/>
      <c r="AKF186" s="31"/>
      <c r="AKG186" s="31"/>
      <c r="AKH186" s="31"/>
      <c r="AKI186" s="31"/>
      <c r="AKJ186" s="31"/>
      <c r="AKK186" s="31"/>
      <c r="AKL186" s="31"/>
      <c r="AKM186" s="31"/>
      <c r="AKN186" s="31"/>
      <c r="AKO186" s="31"/>
      <c r="AKP186" s="31"/>
      <c r="AKQ186" s="31"/>
      <c r="AKR186" s="31"/>
      <c r="AKS186" s="31"/>
      <c r="AKT186" s="31"/>
      <c r="AKU186" s="31"/>
      <c r="AKV186" s="31"/>
      <c r="AKW186" s="31"/>
      <c r="AKX186" s="31"/>
      <c r="AKY186" s="31"/>
      <c r="AKZ186" s="31"/>
      <c r="ALA186" s="31"/>
      <c r="ALB186" s="31"/>
      <c r="ALC186" s="31"/>
      <c r="ALD186" s="31"/>
      <c r="ALE186" s="31"/>
      <c r="ALF186" s="31"/>
      <c r="ALG186" s="31"/>
      <c r="ALH186" s="31"/>
      <c r="ALI186" s="31"/>
      <c r="ALJ186" s="31"/>
      <c r="ALK186" s="31"/>
      <c r="ALL186" s="31"/>
      <c r="ALM186" s="31"/>
      <c r="ALN186" s="31"/>
      <c r="ALO186" s="31"/>
      <c r="ALP186" s="31"/>
      <c r="ALQ186" s="31"/>
      <c r="ALR186" s="31"/>
      <c r="ALS186" s="31"/>
      <c r="ALT186" s="31"/>
      <c r="ALU186" s="31"/>
      <c r="ALV186" s="31"/>
      <c r="ALW186" s="31"/>
      <c r="ALX186" s="31"/>
      <c r="ALY186" s="31"/>
      <c r="ALZ186" s="31"/>
      <c r="AMA186" s="31"/>
      <c r="AMB186" s="31"/>
      <c r="AMC186" s="31"/>
      <c r="AMD186" s="31"/>
      <c r="AME186" s="31"/>
      <c r="AMF186" s="31"/>
      <c r="AMG186" s="31"/>
      <c r="AMH186" s="31"/>
      <c r="AMI186" s="31"/>
      <c r="AMJ186" s="31"/>
      <c r="AMK186" s="31"/>
      <c r="AML186" s="31"/>
      <c r="AMM186" s="31"/>
      <c r="AMN186" s="31"/>
      <c r="AMO186" s="31"/>
      <c r="AMP186" s="31"/>
      <c r="AMQ186" s="31"/>
      <c r="AMR186" s="31"/>
      <c r="AMS186" s="31"/>
      <c r="AMT186" s="31"/>
      <c r="AMU186" s="31"/>
      <c r="AMV186" s="31"/>
      <c r="AMW186" s="31"/>
      <c r="AMX186" s="31"/>
      <c r="AMY186" s="31"/>
      <c r="AMZ186" s="31"/>
      <c r="ANA186" s="31"/>
      <c r="ANB186" s="31"/>
      <c r="ANC186" s="31"/>
      <c r="AND186" s="31"/>
      <c r="ANE186" s="31"/>
      <c r="ANF186" s="31"/>
      <c r="ANG186" s="31"/>
      <c r="ANH186" s="31"/>
      <c r="ANI186" s="31"/>
      <c r="ANJ186" s="31"/>
      <c r="ANK186" s="31"/>
      <c r="ANL186" s="31"/>
      <c r="ANM186" s="31"/>
      <c r="ANN186" s="31"/>
      <c r="ANO186" s="31"/>
      <c r="ANP186" s="31"/>
      <c r="ANQ186" s="31"/>
      <c r="ANR186" s="31"/>
      <c r="ANS186" s="31"/>
      <c r="ANT186" s="31"/>
      <c r="ANU186" s="31"/>
      <c r="ANV186" s="31"/>
      <c r="ANW186" s="31"/>
      <c r="ANX186" s="31"/>
      <c r="ANY186" s="31"/>
      <c r="ANZ186" s="31"/>
      <c r="AOA186" s="31"/>
      <c r="AOB186" s="31"/>
      <c r="AOC186" s="31"/>
      <c r="AOD186" s="31"/>
      <c r="AOE186" s="31"/>
      <c r="AOF186" s="31"/>
      <c r="AOG186" s="31"/>
      <c r="AOH186" s="31"/>
      <c r="AOI186" s="31"/>
      <c r="AOJ186" s="31"/>
      <c r="AOK186" s="31"/>
      <c r="AOL186" s="31"/>
      <c r="AOM186" s="31"/>
      <c r="AON186" s="31"/>
      <c r="AOO186" s="31"/>
      <c r="AOP186" s="31"/>
      <c r="AOQ186" s="31"/>
      <c r="AOR186" s="31"/>
      <c r="AOS186" s="31"/>
      <c r="AOT186" s="31"/>
      <c r="AOU186" s="31"/>
      <c r="AOV186" s="31"/>
      <c r="AOW186" s="31"/>
      <c r="AOX186" s="31"/>
      <c r="AOY186" s="31"/>
      <c r="AOZ186" s="31"/>
      <c r="APA186" s="31"/>
      <c r="APB186" s="31"/>
      <c r="APC186" s="31"/>
      <c r="APD186" s="31"/>
      <c r="APE186" s="31"/>
      <c r="APF186" s="31"/>
      <c r="APG186" s="31"/>
      <c r="APH186" s="31"/>
      <c r="API186" s="31"/>
      <c r="APJ186" s="31"/>
      <c r="APK186" s="31"/>
      <c r="APL186" s="31"/>
      <c r="APM186" s="31"/>
      <c r="APN186" s="31"/>
      <c r="APO186" s="31"/>
      <c r="APP186" s="31"/>
      <c r="APQ186" s="31"/>
      <c r="APR186" s="31"/>
      <c r="APS186" s="31"/>
      <c r="APT186" s="31"/>
      <c r="APU186" s="31"/>
      <c r="APV186" s="31"/>
      <c r="APW186" s="31"/>
      <c r="APX186" s="31"/>
      <c r="APY186" s="31"/>
      <c r="APZ186" s="31"/>
      <c r="AQA186" s="31"/>
      <c r="AQB186" s="31"/>
      <c r="AQC186" s="31"/>
      <c r="AQD186" s="31"/>
      <c r="AQE186" s="31"/>
      <c r="AQF186" s="31"/>
      <c r="AQG186" s="31"/>
      <c r="AQH186" s="31"/>
      <c r="AQI186" s="31"/>
      <c r="AQJ186" s="31"/>
      <c r="AQK186" s="31"/>
      <c r="AQL186" s="31"/>
      <c r="AQM186" s="31"/>
      <c r="AQN186" s="31"/>
      <c r="AQO186" s="31"/>
      <c r="AQP186" s="31"/>
      <c r="AQQ186" s="31"/>
      <c r="AQR186" s="31"/>
      <c r="AQS186" s="31"/>
      <c r="AQT186" s="31"/>
      <c r="AQU186" s="31"/>
      <c r="AQV186" s="31"/>
      <c r="AQW186" s="31"/>
      <c r="AQX186" s="31"/>
      <c r="AQY186" s="31"/>
      <c r="AQZ186" s="31"/>
      <c r="ARA186" s="31"/>
      <c r="ARB186" s="31"/>
      <c r="ARC186" s="31"/>
      <c r="ARD186" s="31"/>
      <c r="ARE186" s="31"/>
      <c r="ARF186" s="31"/>
      <c r="ARG186" s="31"/>
      <c r="ARH186" s="31"/>
      <c r="ARI186" s="31"/>
      <c r="ARJ186" s="31"/>
      <c r="ARK186" s="31"/>
      <c r="ARL186" s="31"/>
      <c r="ARM186" s="31"/>
      <c r="ARN186" s="31"/>
      <c r="ARO186" s="31"/>
      <c r="ARP186" s="31"/>
      <c r="ARQ186" s="31"/>
      <c r="ARR186" s="31"/>
      <c r="ARS186" s="31"/>
      <c r="ART186" s="31"/>
      <c r="ARU186" s="31"/>
      <c r="ARV186" s="31"/>
      <c r="ARW186" s="31"/>
      <c r="ARX186" s="31"/>
      <c r="ARY186" s="31"/>
      <c r="ARZ186" s="31"/>
      <c r="ASA186" s="31"/>
      <c r="ASB186" s="31"/>
      <c r="ASC186" s="31"/>
      <c r="ASD186" s="31"/>
      <c r="ASE186" s="31"/>
      <c r="ASF186" s="31"/>
      <c r="ASG186" s="31"/>
      <c r="ASH186" s="31"/>
      <c r="ASI186" s="31"/>
      <c r="ASJ186" s="31"/>
      <c r="ASK186" s="31"/>
      <c r="ASL186" s="31"/>
      <c r="ASM186" s="31"/>
      <c r="ASN186" s="31"/>
      <c r="ASO186" s="31"/>
      <c r="ASP186" s="31"/>
      <c r="ASQ186" s="31"/>
      <c r="ASR186" s="31"/>
      <c r="ASS186" s="31"/>
      <c r="AST186" s="31"/>
      <c r="ASU186" s="31"/>
      <c r="ASV186" s="31"/>
      <c r="ASW186" s="31"/>
      <c r="ASX186" s="31"/>
      <c r="ASY186" s="31"/>
      <c r="ASZ186" s="31"/>
      <c r="ATA186" s="31"/>
      <c r="ATB186" s="31"/>
      <c r="ATC186" s="31"/>
      <c r="ATD186" s="31"/>
      <c r="ATE186" s="31"/>
      <c r="ATF186" s="31"/>
      <c r="ATG186" s="31"/>
      <c r="ATH186" s="31"/>
      <c r="ATI186" s="31"/>
      <c r="ATJ186" s="31"/>
      <c r="ATK186" s="31"/>
      <c r="ATL186" s="31"/>
      <c r="ATM186" s="31"/>
      <c r="ATN186" s="31"/>
      <c r="ATO186" s="31"/>
      <c r="ATP186" s="31"/>
      <c r="ATQ186" s="31"/>
      <c r="ATR186" s="31"/>
      <c r="ATS186" s="31"/>
      <c r="ATT186" s="31"/>
      <c r="ATU186" s="31"/>
      <c r="ATV186" s="31"/>
      <c r="ATW186" s="31"/>
      <c r="ATX186" s="31"/>
      <c r="ATY186" s="31"/>
      <c r="ATZ186" s="31"/>
      <c r="AUA186" s="31"/>
      <c r="AUB186" s="31"/>
      <c r="AUC186" s="31"/>
      <c r="AUD186" s="31"/>
      <c r="AUE186" s="31"/>
      <c r="AUF186" s="31"/>
      <c r="AUG186" s="31"/>
      <c r="AUH186" s="31"/>
      <c r="AUI186" s="31"/>
      <c r="AUJ186" s="31"/>
      <c r="AUK186" s="31"/>
      <c r="AUL186" s="31"/>
      <c r="AUM186" s="31"/>
      <c r="AUN186" s="31"/>
      <c r="AUO186" s="31"/>
      <c r="AUP186" s="31"/>
      <c r="AUQ186" s="31"/>
      <c r="AUR186" s="31"/>
      <c r="AUS186" s="31"/>
      <c r="AUT186" s="31"/>
      <c r="AUU186" s="31"/>
      <c r="AUV186" s="31"/>
      <c r="AUW186" s="31"/>
      <c r="AUX186" s="31"/>
      <c r="AUY186" s="31"/>
      <c r="AUZ186" s="31"/>
      <c r="AVA186" s="31"/>
      <c r="AVB186" s="31"/>
      <c r="AVC186" s="31"/>
      <c r="AVD186" s="31"/>
      <c r="AVE186" s="31"/>
      <c r="AVF186" s="31"/>
      <c r="AVG186" s="31"/>
      <c r="AVH186" s="31"/>
      <c r="AVI186" s="31"/>
      <c r="AVJ186" s="31"/>
      <c r="AVK186" s="31"/>
      <c r="AVL186" s="31"/>
      <c r="AVM186" s="31"/>
      <c r="AVN186" s="31"/>
      <c r="AVO186" s="31"/>
      <c r="AVP186" s="31"/>
      <c r="AVQ186" s="31"/>
      <c r="AVR186" s="31"/>
      <c r="AVS186" s="31"/>
      <c r="AVT186" s="31"/>
      <c r="AVU186" s="31"/>
      <c r="AVV186" s="31"/>
      <c r="AVW186" s="31"/>
      <c r="AVX186" s="31"/>
      <c r="AVY186" s="31"/>
      <c r="AVZ186" s="31"/>
      <c r="AWA186" s="31"/>
      <c r="AWB186" s="31"/>
      <c r="AWC186" s="31"/>
      <c r="AWD186" s="31"/>
      <c r="AWE186" s="31"/>
      <c r="AWF186" s="31"/>
      <c r="AWG186" s="31"/>
      <c r="AWH186" s="31"/>
      <c r="AWI186" s="31"/>
      <c r="AWJ186" s="31"/>
      <c r="AWK186" s="31"/>
      <c r="AWL186" s="31"/>
      <c r="AWM186" s="31"/>
      <c r="AWN186" s="31"/>
      <c r="AWO186" s="31"/>
      <c r="AWP186" s="31"/>
      <c r="AWQ186" s="31"/>
      <c r="AWR186" s="31"/>
      <c r="AWS186" s="31"/>
      <c r="AWT186" s="31"/>
      <c r="AWU186" s="31"/>
      <c r="AWV186" s="31"/>
      <c r="AWW186" s="31"/>
      <c r="AWX186" s="31"/>
      <c r="AWY186" s="31"/>
      <c r="AWZ186" s="31"/>
      <c r="AXA186" s="31"/>
      <c r="AXB186" s="31"/>
      <c r="AXC186" s="31"/>
      <c r="AXD186" s="31"/>
      <c r="AXE186" s="31"/>
      <c r="AXF186" s="31"/>
      <c r="AXG186" s="31"/>
      <c r="AXH186" s="31"/>
      <c r="AXI186" s="31"/>
      <c r="AXJ186" s="31"/>
      <c r="AXK186" s="31"/>
      <c r="AXL186" s="31"/>
      <c r="AXM186" s="31"/>
      <c r="AXN186" s="31"/>
      <c r="AXO186" s="31"/>
      <c r="AXP186" s="31"/>
      <c r="AXQ186" s="31"/>
      <c r="AXR186" s="31"/>
      <c r="AXS186" s="31"/>
      <c r="AXT186" s="31"/>
      <c r="AXU186" s="31"/>
      <c r="AXV186" s="31"/>
      <c r="AXW186" s="31"/>
      <c r="AXX186" s="31"/>
      <c r="AXY186" s="31"/>
      <c r="AXZ186" s="31"/>
      <c r="AYA186" s="31"/>
      <c r="AYB186" s="31"/>
      <c r="AYC186" s="31"/>
      <c r="AYD186" s="31"/>
      <c r="AYE186" s="31"/>
      <c r="AYF186" s="31"/>
      <c r="AYG186" s="31"/>
      <c r="AYH186" s="31"/>
      <c r="AYI186" s="31"/>
      <c r="AYJ186" s="31"/>
      <c r="AYK186" s="31"/>
      <c r="AYL186" s="31"/>
      <c r="AYM186" s="31"/>
      <c r="AYN186" s="31"/>
      <c r="AYO186" s="31"/>
      <c r="AYP186" s="31"/>
      <c r="AYQ186" s="31"/>
      <c r="AYR186" s="31"/>
      <c r="AYS186" s="31"/>
      <c r="AYT186" s="31"/>
      <c r="AYU186" s="31"/>
      <c r="AYV186" s="31"/>
      <c r="AYW186" s="31"/>
      <c r="AYX186" s="31"/>
      <c r="AYY186" s="31"/>
      <c r="AYZ186" s="31"/>
      <c r="AZA186" s="31"/>
      <c r="AZB186" s="31"/>
      <c r="AZC186" s="31"/>
      <c r="AZD186" s="31"/>
      <c r="AZE186" s="31"/>
      <c r="AZF186" s="31"/>
      <c r="AZG186" s="31"/>
      <c r="AZH186" s="31"/>
      <c r="AZI186" s="31"/>
      <c r="AZJ186" s="31"/>
      <c r="AZK186" s="31"/>
      <c r="AZL186" s="31"/>
      <c r="AZM186" s="31"/>
      <c r="AZN186" s="31"/>
      <c r="AZO186" s="31"/>
      <c r="AZP186" s="31"/>
      <c r="AZQ186" s="31"/>
      <c r="AZR186" s="31"/>
      <c r="AZS186" s="31"/>
      <c r="AZT186" s="31"/>
      <c r="AZU186" s="31"/>
      <c r="AZV186" s="31"/>
      <c r="AZW186" s="31"/>
      <c r="AZX186" s="31"/>
      <c r="AZY186" s="31"/>
      <c r="AZZ186" s="31"/>
      <c r="BAA186" s="31"/>
      <c r="BAB186" s="31"/>
      <c r="BAC186" s="31"/>
      <c r="BAD186" s="31"/>
      <c r="BAE186" s="31"/>
      <c r="BAF186" s="31"/>
      <c r="BAG186" s="31"/>
      <c r="BAH186" s="31"/>
      <c r="BAI186" s="31"/>
      <c r="BAJ186" s="31"/>
      <c r="BAK186" s="31"/>
      <c r="BAL186" s="31"/>
      <c r="BAM186" s="31"/>
      <c r="BAN186" s="31"/>
      <c r="BAO186" s="31"/>
      <c r="BAP186" s="31"/>
      <c r="BAQ186" s="31"/>
      <c r="BAR186" s="31"/>
      <c r="BAS186" s="31"/>
      <c r="BAT186" s="31"/>
      <c r="BAU186" s="31"/>
      <c r="BAV186" s="31"/>
      <c r="BAW186" s="31"/>
      <c r="BAX186" s="31"/>
      <c r="BAY186" s="31"/>
      <c r="BAZ186" s="31"/>
      <c r="BBA186" s="31"/>
      <c r="BBB186" s="31"/>
      <c r="BBC186" s="31"/>
      <c r="BBD186" s="31"/>
      <c r="BBE186" s="31"/>
      <c r="BBF186" s="31"/>
      <c r="BBG186" s="31"/>
      <c r="BBH186" s="31"/>
      <c r="BBI186" s="31"/>
      <c r="BBJ186" s="31"/>
      <c r="BBK186" s="31"/>
      <c r="BBL186" s="31"/>
      <c r="BBM186" s="31"/>
      <c r="BBN186" s="31"/>
      <c r="BBO186" s="31"/>
      <c r="BBP186" s="31"/>
      <c r="BBQ186" s="31"/>
      <c r="BBR186" s="31"/>
      <c r="BBS186" s="31"/>
      <c r="BBT186" s="31"/>
      <c r="BBU186" s="31"/>
      <c r="BBV186" s="31"/>
      <c r="BBW186" s="31"/>
      <c r="BBX186" s="31"/>
      <c r="BBY186" s="31"/>
      <c r="BBZ186" s="31"/>
      <c r="BCA186" s="31"/>
      <c r="BCB186" s="31"/>
      <c r="BCC186" s="31"/>
      <c r="BCD186" s="31"/>
      <c r="BCE186" s="31"/>
      <c r="BCF186" s="31"/>
      <c r="BCG186" s="31"/>
      <c r="BCH186" s="31"/>
      <c r="BCI186" s="31"/>
      <c r="BCJ186" s="31"/>
      <c r="BCK186" s="31"/>
      <c r="BCL186" s="31"/>
      <c r="BCM186" s="31"/>
      <c r="BCN186" s="31"/>
      <c r="BCO186" s="31"/>
      <c r="BCP186" s="31"/>
      <c r="BCQ186" s="31"/>
      <c r="BCR186" s="31"/>
      <c r="BCS186" s="31"/>
      <c r="BCT186" s="31"/>
      <c r="BCU186" s="31"/>
      <c r="BCV186" s="31"/>
      <c r="BCW186" s="31"/>
      <c r="BCX186" s="31"/>
      <c r="BCY186" s="31"/>
      <c r="BCZ186" s="31"/>
      <c r="BDA186" s="31"/>
      <c r="BDB186" s="31"/>
      <c r="BDC186" s="31"/>
      <c r="BDD186" s="31"/>
      <c r="BDE186" s="31"/>
      <c r="BDF186" s="31"/>
      <c r="BDG186" s="31"/>
      <c r="BDH186" s="31"/>
      <c r="BDI186" s="31"/>
      <c r="BDJ186" s="31"/>
      <c r="BDK186" s="31"/>
      <c r="BDL186" s="31"/>
      <c r="BDM186" s="31"/>
      <c r="BDN186" s="31"/>
      <c r="BDO186" s="31"/>
      <c r="BDP186" s="31"/>
      <c r="BDQ186" s="31"/>
      <c r="BDR186" s="31"/>
      <c r="BDS186" s="31"/>
      <c r="BDT186" s="31"/>
      <c r="BDU186" s="31"/>
      <c r="BDV186" s="31"/>
      <c r="BDW186" s="31"/>
      <c r="BDX186" s="31"/>
      <c r="BDY186" s="31"/>
      <c r="BDZ186" s="31"/>
      <c r="BEA186" s="31"/>
      <c r="BEB186" s="31"/>
      <c r="BEC186" s="31"/>
      <c r="BED186" s="31"/>
      <c r="BEE186" s="31"/>
      <c r="BEF186" s="31"/>
      <c r="BEG186" s="31"/>
      <c r="BEH186" s="31"/>
      <c r="BEI186" s="31"/>
      <c r="BEJ186" s="31"/>
      <c r="BEK186" s="31"/>
      <c r="BEL186" s="31"/>
      <c r="BEM186" s="31"/>
      <c r="BEN186" s="31"/>
      <c r="BEO186" s="31"/>
      <c r="BEP186" s="31"/>
      <c r="BEQ186" s="31"/>
      <c r="BER186" s="31"/>
      <c r="BES186" s="31"/>
      <c r="BET186" s="31"/>
      <c r="BEU186" s="31"/>
      <c r="BEV186" s="31"/>
      <c r="BEW186" s="31"/>
      <c r="BEX186" s="31"/>
      <c r="BEY186" s="31"/>
      <c r="BEZ186" s="31"/>
      <c r="BFA186" s="31"/>
      <c r="BFB186" s="31"/>
      <c r="BFC186" s="31"/>
      <c r="BFD186" s="31"/>
      <c r="BFE186" s="31"/>
      <c r="BFF186" s="31"/>
      <c r="BFG186" s="31"/>
      <c r="BFH186" s="31"/>
      <c r="BFI186" s="31"/>
      <c r="BFJ186" s="31"/>
      <c r="BFK186" s="31"/>
      <c r="BFL186" s="31"/>
      <c r="BFM186" s="31"/>
      <c r="BFN186" s="31"/>
      <c r="BFO186" s="31"/>
      <c r="BFP186" s="31"/>
      <c r="BFQ186" s="31"/>
      <c r="BFR186" s="31"/>
      <c r="BFS186" s="31"/>
      <c r="BFT186" s="31"/>
      <c r="BFU186" s="31"/>
      <c r="BFV186" s="31"/>
      <c r="BFW186" s="31"/>
      <c r="BFX186" s="31"/>
      <c r="BFY186" s="31"/>
      <c r="BFZ186" s="31"/>
      <c r="BGA186" s="31"/>
      <c r="BGB186" s="31"/>
      <c r="BGC186" s="31"/>
      <c r="BGD186" s="31"/>
      <c r="BGE186" s="31"/>
      <c r="BGF186" s="31"/>
      <c r="BGG186" s="31"/>
      <c r="BGH186" s="31"/>
      <c r="BGI186" s="31"/>
      <c r="BGJ186" s="31"/>
      <c r="BGK186" s="31"/>
      <c r="BGL186" s="31"/>
      <c r="BGM186" s="31"/>
      <c r="BGN186" s="31"/>
      <c r="BGO186" s="31"/>
      <c r="BGP186" s="31"/>
      <c r="BGQ186" s="31"/>
      <c r="BGR186" s="31"/>
      <c r="BGS186" s="31"/>
      <c r="BGT186" s="31"/>
      <c r="BGU186" s="31"/>
      <c r="BGV186" s="31"/>
      <c r="BGW186" s="31"/>
      <c r="BGX186" s="31"/>
      <c r="BGY186" s="31"/>
      <c r="BGZ186" s="31"/>
      <c r="BHA186" s="31"/>
      <c r="BHB186" s="31"/>
      <c r="BHC186" s="31"/>
      <c r="BHD186" s="31"/>
      <c r="BHE186" s="31"/>
      <c r="BHF186" s="31"/>
      <c r="BHG186" s="31"/>
      <c r="BHH186" s="31"/>
      <c r="BHI186" s="31"/>
      <c r="BHJ186" s="31"/>
      <c r="BHK186" s="31"/>
      <c r="BHL186" s="31"/>
      <c r="BHM186" s="31"/>
      <c r="BHN186" s="31"/>
      <c r="BHO186" s="31"/>
      <c r="BHP186" s="31"/>
      <c r="BHQ186" s="31"/>
      <c r="BHR186" s="31"/>
      <c r="BHS186" s="31"/>
      <c r="BHT186" s="31"/>
      <c r="BHU186" s="31"/>
      <c r="BHV186" s="31"/>
      <c r="BHW186" s="31"/>
      <c r="BHX186" s="31"/>
      <c r="BHY186" s="31"/>
      <c r="BHZ186" s="31"/>
      <c r="BIA186" s="31"/>
      <c r="BIB186" s="31"/>
      <c r="BIC186" s="31"/>
      <c r="BID186" s="31"/>
      <c r="BIE186" s="31"/>
      <c r="BIF186" s="31"/>
      <c r="BIG186" s="31"/>
      <c r="BIH186" s="31"/>
      <c r="BII186" s="31"/>
      <c r="BIJ186" s="31"/>
      <c r="BIK186" s="31"/>
      <c r="BIL186" s="31"/>
      <c r="BIM186" s="31"/>
      <c r="BIN186" s="31"/>
      <c r="BIO186" s="31"/>
      <c r="BIP186" s="31"/>
      <c r="BIQ186" s="31"/>
      <c r="BIR186" s="31"/>
      <c r="BIS186" s="31"/>
      <c r="BIT186" s="31"/>
      <c r="BIU186" s="31"/>
      <c r="BIV186" s="31"/>
      <c r="BIW186" s="31"/>
      <c r="BIX186" s="31"/>
      <c r="BIY186" s="31"/>
      <c r="BIZ186" s="31"/>
      <c r="BJA186" s="31"/>
      <c r="BJB186" s="31"/>
      <c r="BJC186" s="31"/>
      <c r="BJD186" s="31"/>
      <c r="BJE186" s="31"/>
      <c r="BJF186" s="31"/>
      <c r="BJG186" s="31"/>
      <c r="BJH186" s="31"/>
      <c r="BJI186" s="31"/>
      <c r="BJJ186" s="31"/>
      <c r="BJK186" s="31"/>
      <c r="BJL186" s="31"/>
      <c r="BJM186" s="31"/>
      <c r="BJN186" s="31"/>
      <c r="BJO186" s="31"/>
      <c r="BJP186" s="31"/>
      <c r="BJQ186" s="31"/>
      <c r="BJR186" s="31"/>
      <c r="BJS186" s="31"/>
      <c r="BJT186" s="31"/>
      <c r="BJU186" s="31"/>
      <c r="BJV186" s="31"/>
      <c r="BJW186" s="31"/>
      <c r="BJX186" s="31"/>
      <c r="BJY186" s="31"/>
      <c r="BJZ186" s="31"/>
      <c r="BKA186" s="31"/>
      <c r="BKB186" s="31"/>
      <c r="BKC186" s="31"/>
      <c r="BKD186" s="31"/>
      <c r="BKE186" s="31"/>
      <c r="BKF186" s="31"/>
      <c r="BKG186" s="31"/>
      <c r="BKH186" s="31"/>
      <c r="BKI186" s="31"/>
      <c r="BKJ186" s="31"/>
      <c r="BKK186" s="31"/>
      <c r="BKL186" s="31"/>
      <c r="BKM186" s="31"/>
      <c r="BKN186" s="31"/>
      <c r="BKO186" s="31"/>
      <c r="BKP186" s="31"/>
      <c r="BKQ186" s="31"/>
      <c r="BKR186" s="31"/>
      <c r="BKS186" s="31"/>
      <c r="BKT186" s="31"/>
      <c r="BKU186" s="31"/>
      <c r="BKV186" s="31"/>
      <c r="BKW186" s="31"/>
      <c r="BKX186" s="31"/>
      <c r="BKY186" s="31"/>
      <c r="BKZ186" s="31"/>
      <c r="BLA186" s="31"/>
      <c r="BLB186" s="31"/>
      <c r="BLC186" s="31"/>
      <c r="BLD186" s="31"/>
      <c r="BLE186" s="31"/>
      <c r="BLF186" s="31"/>
      <c r="BLG186" s="31"/>
      <c r="BLH186" s="31"/>
      <c r="BLI186" s="31"/>
      <c r="BLJ186" s="31"/>
      <c r="BLK186" s="31"/>
      <c r="BLL186" s="31"/>
      <c r="BLM186" s="31"/>
      <c r="BLN186" s="31"/>
      <c r="BLO186" s="31"/>
      <c r="BLP186" s="31"/>
      <c r="BLQ186" s="31"/>
      <c r="BLR186" s="31"/>
      <c r="BLS186" s="31"/>
      <c r="BLT186" s="31"/>
      <c r="BLU186" s="31"/>
      <c r="BLV186" s="31"/>
      <c r="BLW186" s="31"/>
      <c r="BLX186" s="31"/>
      <c r="BLY186" s="31"/>
      <c r="BLZ186" s="31"/>
      <c r="BMA186" s="31"/>
      <c r="BMB186" s="31"/>
      <c r="BMC186" s="31"/>
      <c r="BMD186" s="31"/>
      <c r="BME186" s="31"/>
      <c r="BMF186" s="31"/>
      <c r="BMG186" s="31"/>
      <c r="BMH186" s="31"/>
      <c r="BMI186" s="31"/>
      <c r="BMJ186" s="31"/>
      <c r="BMK186" s="31"/>
      <c r="BML186" s="31"/>
      <c r="BMM186" s="31"/>
      <c r="BMN186" s="31"/>
      <c r="BMO186" s="31"/>
      <c r="BMP186" s="31"/>
      <c r="BMQ186" s="31"/>
      <c r="BMR186" s="31"/>
      <c r="BMS186" s="31"/>
      <c r="BMT186" s="31"/>
      <c r="BMU186" s="31"/>
      <c r="BMV186" s="31"/>
      <c r="BMW186" s="31"/>
      <c r="BMX186" s="31"/>
      <c r="BMY186" s="31"/>
      <c r="BMZ186" s="31"/>
      <c r="BNA186" s="31"/>
      <c r="BNB186" s="31"/>
      <c r="BNC186" s="31"/>
      <c r="BND186" s="31"/>
      <c r="BNE186" s="31"/>
      <c r="BNF186" s="31"/>
      <c r="BNG186" s="31"/>
      <c r="BNH186" s="31"/>
      <c r="BNI186" s="31"/>
      <c r="BNJ186" s="31"/>
      <c r="BNK186" s="31"/>
      <c r="BNL186" s="31"/>
      <c r="BNM186" s="31"/>
      <c r="BNN186" s="31"/>
      <c r="BNO186" s="31"/>
      <c r="BNP186" s="31"/>
      <c r="BNQ186" s="31"/>
      <c r="BNR186" s="31"/>
      <c r="BNS186" s="31"/>
      <c r="BNT186" s="31"/>
      <c r="BNU186" s="31"/>
      <c r="BNV186" s="31"/>
      <c r="BNW186" s="31"/>
      <c r="BNX186" s="31"/>
      <c r="BNY186" s="31"/>
      <c r="BNZ186" s="31"/>
      <c r="BOA186" s="31"/>
      <c r="BOB186" s="31"/>
      <c r="BOC186" s="31"/>
      <c r="BOD186" s="31"/>
      <c r="BOE186" s="31"/>
      <c r="BOF186" s="31"/>
      <c r="BOG186" s="31"/>
      <c r="BOH186" s="31"/>
      <c r="BOI186" s="31"/>
      <c r="BOJ186" s="31"/>
      <c r="BOK186" s="31"/>
      <c r="BOL186" s="31"/>
      <c r="BOM186" s="31"/>
      <c r="BON186" s="31"/>
      <c r="BOO186" s="31"/>
      <c r="BOP186" s="31"/>
      <c r="BOQ186" s="31"/>
      <c r="BOR186" s="31"/>
      <c r="BOS186" s="31"/>
      <c r="BOT186" s="31"/>
      <c r="BOU186" s="31"/>
      <c r="BOV186" s="31"/>
      <c r="BOW186" s="31"/>
      <c r="BOX186" s="31"/>
      <c r="BOY186" s="31"/>
      <c r="BOZ186" s="31"/>
      <c r="BPA186" s="31"/>
      <c r="BPB186" s="31"/>
      <c r="BPC186" s="31"/>
      <c r="BPD186" s="31"/>
      <c r="BPE186" s="31"/>
      <c r="BPF186" s="31"/>
      <c r="BPG186" s="31"/>
      <c r="BPH186" s="31"/>
      <c r="BPI186" s="31"/>
      <c r="BPJ186" s="31"/>
      <c r="BPK186" s="31"/>
      <c r="BPL186" s="31"/>
      <c r="BPM186" s="31"/>
      <c r="BPN186" s="31"/>
      <c r="BPO186" s="31"/>
      <c r="BPP186" s="31"/>
      <c r="BPQ186" s="31"/>
      <c r="BPR186" s="31"/>
      <c r="BPS186" s="31"/>
      <c r="BPT186" s="31"/>
      <c r="BPU186" s="31"/>
      <c r="BPV186" s="31"/>
      <c r="BPW186" s="31"/>
      <c r="BPX186" s="31"/>
      <c r="BPY186" s="31"/>
      <c r="BPZ186" s="31"/>
      <c r="BQA186" s="31"/>
      <c r="BQB186" s="31"/>
      <c r="BQC186" s="31"/>
      <c r="BQD186" s="31"/>
      <c r="BQE186" s="31"/>
      <c r="BQF186" s="31"/>
      <c r="BQG186" s="31"/>
      <c r="BQH186" s="31"/>
      <c r="BQI186" s="31"/>
      <c r="BQJ186" s="31"/>
      <c r="BQK186" s="31"/>
      <c r="BQL186" s="31"/>
      <c r="BQM186" s="31"/>
      <c r="BQN186" s="31"/>
      <c r="BQO186" s="31"/>
      <c r="BQP186" s="31"/>
      <c r="BQQ186" s="31"/>
      <c r="BQR186" s="31"/>
      <c r="BQS186" s="31"/>
      <c r="BQT186" s="31"/>
      <c r="BQU186" s="31"/>
      <c r="BQV186" s="31"/>
      <c r="BQW186" s="31"/>
      <c r="BQX186" s="31"/>
      <c r="BQY186" s="31"/>
      <c r="BQZ186" s="31"/>
      <c r="BRA186" s="31"/>
      <c r="BRB186" s="31"/>
      <c r="BRC186" s="31"/>
      <c r="BRD186" s="31"/>
      <c r="BRE186" s="31"/>
      <c r="BRF186" s="31"/>
      <c r="BRG186" s="31"/>
      <c r="BRH186" s="31"/>
      <c r="BRI186" s="31"/>
      <c r="BRJ186" s="31"/>
      <c r="BRK186" s="31"/>
      <c r="BRL186" s="31"/>
      <c r="BRM186" s="31"/>
      <c r="BRN186" s="31"/>
      <c r="BRO186" s="31"/>
      <c r="BRP186" s="31"/>
      <c r="BRQ186" s="31"/>
      <c r="BRR186" s="31"/>
      <c r="BRS186" s="31"/>
      <c r="BRT186" s="31"/>
      <c r="BRU186" s="31"/>
      <c r="BRV186" s="31"/>
      <c r="BRW186" s="31"/>
      <c r="BRX186" s="31"/>
      <c r="BRY186" s="31"/>
      <c r="BRZ186" s="31"/>
      <c r="BSA186" s="31"/>
      <c r="BSB186" s="31"/>
      <c r="BSC186" s="31"/>
      <c r="BSD186" s="31"/>
      <c r="BSE186" s="31"/>
      <c r="BSF186" s="31"/>
      <c r="BSG186" s="31"/>
      <c r="BSH186" s="31"/>
      <c r="BSI186" s="31"/>
      <c r="BSJ186" s="31"/>
      <c r="BSK186" s="31"/>
      <c r="BSL186" s="31"/>
      <c r="BSM186" s="31"/>
      <c r="BSN186" s="31"/>
      <c r="BSO186" s="31"/>
      <c r="BSP186" s="31"/>
      <c r="BSQ186" s="31"/>
      <c r="BSR186" s="31"/>
      <c r="BSS186" s="31"/>
      <c r="BST186" s="31"/>
      <c r="BSU186" s="31"/>
      <c r="BSV186" s="31"/>
      <c r="BSW186" s="31"/>
      <c r="BSX186" s="31"/>
      <c r="BSY186" s="31"/>
    </row>
    <row r="187" spans="1:1871" ht="27.75" customHeight="1" x14ac:dyDescent="0.25">
      <c r="A187" s="54" t="s">
        <v>3</v>
      </c>
      <c r="B187" s="55"/>
      <c r="C187" s="56">
        <f>SUM(C134:C186)</f>
        <v>92846.03</v>
      </c>
      <c r="D187" s="56">
        <f>SUM(D134:D186)</f>
        <v>17200.788</v>
      </c>
      <c r="E187" s="56">
        <f>SUM(E134:E186)</f>
        <v>110966.993</v>
      </c>
    </row>
    <row r="188" spans="1:1871" ht="36" x14ac:dyDescent="0.25">
      <c r="A188" s="124" t="s">
        <v>148</v>
      </c>
      <c r="B188" s="125"/>
      <c r="C188" s="125"/>
      <c r="D188" s="125"/>
      <c r="E188" s="125"/>
    </row>
    <row r="189" spans="1:1871" x14ac:dyDescent="0.25">
      <c r="A189" s="63">
        <v>45780</v>
      </c>
      <c r="B189" s="64" t="s">
        <v>109</v>
      </c>
      <c r="C189" s="65">
        <v>179.31899999999999</v>
      </c>
      <c r="D189" s="65">
        <f>11.252+11.351+11.295</f>
        <v>33.898000000000003</v>
      </c>
      <c r="E189" s="65">
        <f>C189+D189</f>
        <v>213.21699999999998</v>
      </c>
    </row>
    <row r="190" spans="1:1871" x14ac:dyDescent="0.25">
      <c r="A190" s="63">
        <v>45780</v>
      </c>
      <c r="B190" s="64" t="s">
        <v>109</v>
      </c>
      <c r="C190" s="65">
        <v>92.436999999999998</v>
      </c>
      <c r="D190" s="65">
        <v>17.562999999999999</v>
      </c>
      <c r="E190" s="65">
        <v>126.4</v>
      </c>
    </row>
    <row r="191" spans="1:1871" x14ac:dyDescent="0.25">
      <c r="A191" s="63">
        <v>45782</v>
      </c>
      <c r="B191" s="64" t="s">
        <v>110</v>
      </c>
      <c r="C191" s="65">
        <v>864</v>
      </c>
      <c r="D191" s="65">
        <v>164.16</v>
      </c>
      <c r="E191" s="65">
        <v>1029.1600000000001</v>
      </c>
    </row>
    <row r="192" spans="1:1871" x14ac:dyDescent="0.25">
      <c r="A192" s="63">
        <v>45783</v>
      </c>
      <c r="B192" s="64" t="s">
        <v>112</v>
      </c>
      <c r="C192" s="65">
        <v>67.015000000000001</v>
      </c>
      <c r="D192" s="65">
        <v>12.733000000000001</v>
      </c>
      <c r="E192" s="65">
        <v>80.748000000000005</v>
      </c>
    </row>
    <row r="193" spans="1:5" x14ac:dyDescent="0.25">
      <c r="A193" s="63">
        <v>45785</v>
      </c>
      <c r="B193" s="64" t="s">
        <v>112</v>
      </c>
      <c r="C193" s="65">
        <v>55.911000000000001</v>
      </c>
      <c r="D193" s="65">
        <v>10.622999999999999</v>
      </c>
      <c r="E193" s="65">
        <v>67.534000000000006</v>
      </c>
    </row>
    <row r="194" spans="1:5" x14ac:dyDescent="0.25">
      <c r="A194" s="63">
        <v>45786</v>
      </c>
      <c r="B194" s="64" t="s">
        <v>113</v>
      </c>
      <c r="C194" s="65">
        <v>624.37</v>
      </c>
      <c r="D194" s="65">
        <v>118.63</v>
      </c>
      <c r="E194" s="65">
        <v>744</v>
      </c>
    </row>
    <row r="195" spans="1:5" x14ac:dyDescent="0.25">
      <c r="A195" s="63">
        <v>45787</v>
      </c>
      <c r="B195" s="64" t="s">
        <v>114</v>
      </c>
      <c r="C195" s="65">
        <v>36.491999999999997</v>
      </c>
      <c r="D195" s="65">
        <v>6.9329999999999998</v>
      </c>
      <c r="E195" s="65">
        <v>44.424999999999997</v>
      </c>
    </row>
    <row r="196" spans="1:5" x14ac:dyDescent="0.25">
      <c r="A196" s="63">
        <v>45787</v>
      </c>
      <c r="B196" s="64" t="s">
        <v>115</v>
      </c>
      <c r="C196" s="65">
        <v>601.69899999999996</v>
      </c>
      <c r="D196" s="65">
        <v>114.32299999999999</v>
      </c>
      <c r="E196" s="65">
        <v>717.02200000000005</v>
      </c>
    </row>
    <row r="197" spans="1:5" x14ac:dyDescent="0.25">
      <c r="A197" s="63">
        <v>45787</v>
      </c>
      <c r="B197" s="64" t="s">
        <v>116</v>
      </c>
      <c r="C197" s="65">
        <v>183.19300000000001</v>
      </c>
      <c r="D197" s="65">
        <v>34.807000000000002</v>
      </c>
      <c r="E197" s="65">
        <v>219</v>
      </c>
    </row>
    <row r="198" spans="1:5" x14ac:dyDescent="0.25">
      <c r="A198" s="63">
        <v>45789</v>
      </c>
      <c r="B198" s="64" t="s">
        <v>117</v>
      </c>
      <c r="C198" s="65">
        <v>218.36199999999999</v>
      </c>
      <c r="D198" s="65">
        <v>41.488999999999997</v>
      </c>
      <c r="E198" s="65">
        <v>260.851</v>
      </c>
    </row>
    <row r="199" spans="1:5" x14ac:dyDescent="0.25">
      <c r="A199" s="63">
        <v>45790</v>
      </c>
      <c r="B199" s="64" t="s">
        <v>118</v>
      </c>
      <c r="C199" s="65">
        <v>3898.319</v>
      </c>
      <c r="D199" s="65">
        <v>740.68100000000004</v>
      </c>
      <c r="E199" s="65">
        <v>4639</v>
      </c>
    </row>
    <row r="200" spans="1:5" x14ac:dyDescent="0.25">
      <c r="A200" s="63">
        <v>45790</v>
      </c>
      <c r="B200" s="64" t="s">
        <v>119</v>
      </c>
      <c r="C200" s="65">
        <v>13.279</v>
      </c>
      <c r="D200" s="65">
        <v>2.5230000000000001</v>
      </c>
      <c r="E200" s="65">
        <v>16.802</v>
      </c>
    </row>
    <row r="201" spans="1:5" x14ac:dyDescent="0.25">
      <c r="A201" s="63">
        <v>45790</v>
      </c>
      <c r="B201" s="64" t="s">
        <v>32</v>
      </c>
      <c r="C201" s="65">
        <v>4980.6620000000003</v>
      </c>
      <c r="D201" s="65">
        <v>946.32600000000002</v>
      </c>
      <c r="E201" s="65">
        <v>5949.4279999999999</v>
      </c>
    </row>
    <row r="202" spans="1:5" x14ac:dyDescent="0.25">
      <c r="A202" s="63">
        <v>45780</v>
      </c>
      <c r="B202" s="64" t="s">
        <v>92</v>
      </c>
      <c r="C202" s="65">
        <v>224</v>
      </c>
      <c r="D202" s="65">
        <v>16</v>
      </c>
      <c r="E202" s="65">
        <v>240</v>
      </c>
    </row>
    <row r="203" spans="1:5" x14ac:dyDescent="0.25">
      <c r="A203" s="63">
        <v>45780</v>
      </c>
      <c r="B203" s="64" t="s">
        <v>92</v>
      </c>
      <c r="C203" s="65">
        <v>224</v>
      </c>
      <c r="D203" s="65">
        <v>16</v>
      </c>
      <c r="E203" s="65">
        <v>240</v>
      </c>
    </row>
    <row r="204" spans="1:5" x14ac:dyDescent="0.25">
      <c r="A204" s="63">
        <v>45780</v>
      </c>
      <c r="B204" s="64" t="s">
        <v>92</v>
      </c>
      <c r="C204" s="65">
        <v>336</v>
      </c>
      <c r="D204" s="65">
        <v>24</v>
      </c>
      <c r="E204" s="65">
        <v>360</v>
      </c>
    </row>
    <row r="205" spans="1:5" x14ac:dyDescent="0.25">
      <c r="A205" s="63">
        <v>45793</v>
      </c>
      <c r="B205" s="64" t="s">
        <v>120</v>
      </c>
      <c r="C205" s="65">
        <v>7.1429999999999998</v>
      </c>
      <c r="D205" s="65">
        <v>1.357</v>
      </c>
      <c r="E205" s="65">
        <v>9.5</v>
      </c>
    </row>
    <row r="206" spans="1:5" x14ac:dyDescent="0.25">
      <c r="A206" s="63">
        <v>45792</v>
      </c>
      <c r="B206" s="64" t="s">
        <v>121</v>
      </c>
      <c r="C206" s="65">
        <v>518.4</v>
      </c>
      <c r="D206" s="65">
        <v>98.495999999999995</v>
      </c>
      <c r="E206" s="65">
        <v>617.89599999999996</v>
      </c>
    </row>
    <row r="207" spans="1:5" x14ac:dyDescent="0.25">
      <c r="A207" s="63">
        <v>45792</v>
      </c>
      <c r="B207" s="64" t="s">
        <v>122</v>
      </c>
      <c r="C207" s="65">
        <v>142.017</v>
      </c>
      <c r="D207" s="65">
        <v>26.983000000000001</v>
      </c>
      <c r="E207" s="65">
        <v>170</v>
      </c>
    </row>
    <row r="208" spans="1:5" x14ac:dyDescent="0.25">
      <c r="A208" s="63">
        <v>45791</v>
      </c>
      <c r="B208" s="64" t="s">
        <v>122</v>
      </c>
      <c r="C208" s="65">
        <v>142.017</v>
      </c>
      <c r="D208" s="65">
        <v>26.983000000000001</v>
      </c>
      <c r="E208" s="65">
        <v>170</v>
      </c>
    </row>
    <row r="209" spans="1:5" x14ac:dyDescent="0.25">
      <c r="A209" s="63">
        <v>45795</v>
      </c>
      <c r="B209" s="64" t="s">
        <v>124</v>
      </c>
      <c r="C209" s="65">
        <v>35.520000000000003</v>
      </c>
      <c r="D209" s="65">
        <v>6.7489999999999997</v>
      </c>
      <c r="E209" s="65">
        <v>43.268999999999998</v>
      </c>
    </row>
    <row r="210" spans="1:5" x14ac:dyDescent="0.25">
      <c r="A210" s="63">
        <v>45797</v>
      </c>
      <c r="B210" s="64" t="s">
        <v>125</v>
      </c>
      <c r="C210" s="65">
        <v>195</v>
      </c>
      <c r="D210" s="65">
        <v>37.049999999999997</v>
      </c>
      <c r="E210" s="65">
        <v>233.05</v>
      </c>
    </row>
    <row r="211" spans="1:5" x14ac:dyDescent="0.25">
      <c r="A211" s="63">
        <v>45798</v>
      </c>
      <c r="B211" s="64" t="s">
        <v>60</v>
      </c>
      <c r="C211" s="65">
        <v>125.989</v>
      </c>
      <c r="D211" s="65">
        <v>23.937999999999999</v>
      </c>
      <c r="E211" s="65">
        <v>150.928</v>
      </c>
    </row>
    <row r="212" spans="1:5" x14ac:dyDescent="0.25">
      <c r="A212" s="63">
        <v>45799</v>
      </c>
      <c r="B212" s="64" t="s">
        <v>126</v>
      </c>
      <c r="C212" s="65">
        <v>1654.239</v>
      </c>
      <c r="D212" s="65">
        <v>314.30500000000001</v>
      </c>
      <c r="E212" s="65">
        <v>1969.5440000000001</v>
      </c>
    </row>
    <row r="213" spans="1:5" x14ac:dyDescent="0.25">
      <c r="A213" s="63">
        <v>45800</v>
      </c>
      <c r="B213" s="64" t="s">
        <v>32</v>
      </c>
      <c r="C213" s="65">
        <v>9603.5709999999999</v>
      </c>
      <c r="D213" s="65">
        <v>1824.6780000000001</v>
      </c>
      <c r="E213" s="65">
        <v>11470.589</v>
      </c>
    </row>
    <row r="214" spans="1:5" x14ac:dyDescent="0.25">
      <c r="A214" s="63">
        <v>45801</v>
      </c>
      <c r="B214" s="64" t="s">
        <v>129</v>
      </c>
      <c r="C214" s="65">
        <v>599.16</v>
      </c>
      <c r="D214" s="65">
        <v>113.84</v>
      </c>
      <c r="E214" s="65">
        <v>714</v>
      </c>
    </row>
    <row r="215" spans="1:5" x14ac:dyDescent="0.25">
      <c r="A215" s="63">
        <v>45802</v>
      </c>
      <c r="B215" s="64" t="s">
        <v>125</v>
      </c>
      <c r="C215" s="65">
        <v>97.5</v>
      </c>
      <c r="D215" s="65">
        <v>18.524999999999999</v>
      </c>
      <c r="E215" s="65">
        <v>117.02500000000001</v>
      </c>
    </row>
    <row r="216" spans="1:5" x14ac:dyDescent="0.25">
      <c r="A216" s="63">
        <v>45803</v>
      </c>
      <c r="B216" s="64" t="s">
        <v>107</v>
      </c>
      <c r="C216" s="65">
        <v>52.68</v>
      </c>
      <c r="D216" s="65">
        <v>10.01</v>
      </c>
      <c r="E216" s="65">
        <v>63.69</v>
      </c>
    </row>
    <row r="217" spans="1:5" x14ac:dyDescent="0.25">
      <c r="A217" s="63">
        <v>45804</v>
      </c>
      <c r="B217" s="64" t="s">
        <v>32</v>
      </c>
      <c r="C217" s="65">
        <v>10207.57</v>
      </c>
      <c r="D217" s="65">
        <v>1939.4380000000001</v>
      </c>
      <c r="E217" s="65">
        <v>12191.948</v>
      </c>
    </row>
    <row r="218" spans="1:5" x14ac:dyDescent="0.25">
      <c r="A218" s="63">
        <v>45806</v>
      </c>
      <c r="B218" s="64" t="s">
        <v>27</v>
      </c>
      <c r="C218" s="65">
        <v>5.8819999999999997</v>
      </c>
      <c r="D218" s="65">
        <v>1.1180000000000001</v>
      </c>
      <c r="E218" s="65">
        <v>8</v>
      </c>
    </row>
    <row r="219" spans="1:5" x14ac:dyDescent="0.25">
      <c r="A219" s="63">
        <v>45806</v>
      </c>
      <c r="B219" s="64" t="s">
        <v>128</v>
      </c>
      <c r="C219" s="65">
        <v>914.25199999999995</v>
      </c>
      <c r="D219" s="65">
        <v>173.708</v>
      </c>
      <c r="E219" s="65">
        <v>1088.69</v>
      </c>
    </row>
    <row r="220" spans="1:5" x14ac:dyDescent="0.25">
      <c r="A220" s="63">
        <v>45807</v>
      </c>
      <c r="B220" s="64" t="s">
        <v>127</v>
      </c>
      <c r="C220" s="65">
        <v>38.374000000000002</v>
      </c>
      <c r="D220" s="65">
        <v>7.2910000000000004</v>
      </c>
      <c r="E220" s="65">
        <v>46.655000000000001</v>
      </c>
    </row>
    <row r="221" spans="1:5" x14ac:dyDescent="0.25">
      <c r="A221" s="63">
        <v>45808</v>
      </c>
      <c r="B221" s="64" t="s">
        <v>127</v>
      </c>
      <c r="C221" s="65">
        <v>102.4</v>
      </c>
      <c r="D221" s="65">
        <v>19.456</v>
      </c>
      <c r="E221" s="65">
        <v>122.85599999999999</v>
      </c>
    </row>
    <row r="222" spans="1:5" x14ac:dyDescent="0.25">
      <c r="A222" s="63">
        <v>45808</v>
      </c>
      <c r="B222" s="64" t="s">
        <v>28</v>
      </c>
      <c r="C222" s="65">
        <v>228.16300000000001</v>
      </c>
      <c r="D222" s="65">
        <v>30.361999999999998</v>
      </c>
      <c r="E222" s="65">
        <v>258.52499999999998</v>
      </c>
    </row>
    <row r="223" spans="1:5" x14ac:dyDescent="0.25">
      <c r="A223" s="40" t="s">
        <v>3</v>
      </c>
      <c r="B223" s="41"/>
      <c r="C223" s="35">
        <f>SUM(C189:C222)</f>
        <v>37268.935000000005</v>
      </c>
      <c r="D223" s="35">
        <f>SUM(D189:D222)</f>
        <v>6974.9760000000015</v>
      </c>
      <c r="E223" s="35">
        <f>SUM(E189:E222)</f>
        <v>44393.752</v>
      </c>
    </row>
    <row r="224" spans="1:5" ht="15.75" thickBot="1" x14ac:dyDescent="0.3"/>
    <row r="225" spans="1:6" ht="47.25" thickBot="1" x14ac:dyDescent="0.3">
      <c r="A225" s="128" t="s">
        <v>150</v>
      </c>
      <c r="B225" s="129"/>
      <c r="C225" s="129"/>
      <c r="D225" s="129"/>
      <c r="E225" s="129"/>
      <c r="F225" s="77" t="s">
        <v>149</v>
      </c>
    </row>
    <row r="226" spans="1:6" x14ac:dyDescent="0.25">
      <c r="A226" s="63">
        <v>45810</v>
      </c>
      <c r="B226" s="64" t="s">
        <v>115</v>
      </c>
      <c r="C226" s="65">
        <v>168.4</v>
      </c>
      <c r="D226" s="65">
        <v>31.995999999999999</v>
      </c>
      <c r="E226" s="65">
        <v>201.369</v>
      </c>
      <c r="F226" s="66"/>
    </row>
    <row r="227" spans="1:6" x14ac:dyDescent="0.25">
      <c r="A227" s="63">
        <v>45810</v>
      </c>
      <c r="B227" s="64" t="s">
        <v>130</v>
      </c>
      <c r="C227" s="65">
        <v>336</v>
      </c>
      <c r="D227" s="65">
        <v>24</v>
      </c>
      <c r="E227" s="65">
        <v>360</v>
      </c>
      <c r="F227" s="67"/>
    </row>
    <row r="228" spans="1:6" x14ac:dyDescent="0.25">
      <c r="A228" s="63">
        <v>45810</v>
      </c>
      <c r="B228" s="64" t="s">
        <v>130</v>
      </c>
      <c r="C228" s="65">
        <v>224</v>
      </c>
      <c r="D228" s="65">
        <v>16</v>
      </c>
      <c r="E228" s="65">
        <v>240</v>
      </c>
      <c r="F228" s="67"/>
    </row>
    <row r="229" spans="1:6" x14ac:dyDescent="0.25">
      <c r="A229" s="63">
        <v>45810</v>
      </c>
      <c r="B229" s="64" t="s">
        <v>130</v>
      </c>
      <c r="C229" s="65">
        <v>224</v>
      </c>
      <c r="D229" s="65">
        <v>16</v>
      </c>
      <c r="E229" s="65">
        <v>240</v>
      </c>
      <c r="F229" s="67"/>
    </row>
    <row r="230" spans="1:6" x14ac:dyDescent="0.25">
      <c r="A230" s="63">
        <v>45811</v>
      </c>
      <c r="B230" s="64" t="s">
        <v>131</v>
      </c>
      <c r="C230" s="65">
        <v>120.56100000000001</v>
      </c>
      <c r="D230" s="65">
        <v>8.4390000000000001</v>
      </c>
      <c r="E230" s="65">
        <v>130</v>
      </c>
      <c r="F230" s="67"/>
    </row>
    <row r="231" spans="1:6" x14ac:dyDescent="0.25">
      <c r="A231" s="63">
        <v>45812</v>
      </c>
      <c r="B231" s="64" t="s">
        <v>132</v>
      </c>
      <c r="C231" s="65">
        <v>21.849</v>
      </c>
      <c r="D231" s="65">
        <v>4.1509999999999998</v>
      </c>
      <c r="E231" s="65">
        <v>26</v>
      </c>
      <c r="F231" s="67"/>
    </row>
    <row r="232" spans="1:6" x14ac:dyDescent="0.25">
      <c r="A232" s="63">
        <v>45818</v>
      </c>
      <c r="B232" s="64" t="s">
        <v>133</v>
      </c>
      <c r="C232" s="65">
        <v>223.02</v>
      </c>
      <c r="D232" s="65">
        <v>42.374000000000002</v>
      </c>
      <c r="E232" s="65">
        <v>266.39400000000001</v>
      </c>
      <c r="F232" s="67"/>
    </row>
    <row r="233" spans="1:6" x14ac:dyDescent="0.25">
      <c r="A233" s="44"/>
      <c r="B233" s="45" t="s">
        <v>134</v>
      </c>
      <c r="C233" s="46"/>
      <c r="D233" s="46"/>
      <c r="E233" s="46"/>
      <c r="F233" s="67"/>
    </row>
    <row r="234" spans="1:6" x14ac:dyDescent="0.25">
      <c r="A234" s="63">
        <v>45822</v>
      </c>
      <c r="B234" s="64" t="s">
        <v>135</v>
      </c>
      <c r="C234" s="65">
        <v>209.244</v>
      </c>
      <c r="D234" s="65">
        <v>39.756</v>
      </c>
      <c r="E234" s="65">
        <v>250</v>
      </c>
      <c r="F234" s="67"/>
    </row>
    <row r="235" spans="1:6" x14ac:dyDescent="0.25">
      <c r="A235" s="63">
        <v>45819</v>
      </c>
      <c r="B235" s="64" t="s">
        <v>6</v>
      </c>
      <c r="C235" s="65">
        <v>10593.2</v>
      </c>
      <c r="D235" s="65">
        <v>2012.7080000000001</v>
      </c>
      <c r="E235" s="65">
        <v>12525.993</v>
      </c>
      <c r="F235" s="67"/>
    </row>
    <row r="236" spans="1:6" x14ac:dyDescent="0.25">
      <c r="A236" s="44">
        <v>45819</v>
      </c>
      <c r="B236" s="45" t="s">
        <v>134</v>
      </c>
      <c r="C236" s="46"/>
      <c r="D236" s="46"/>
      <c r="E236" s="46"/>
      <c r="F236" s="67"/>
    </row>
    <row r="237" spans="1:6" x14ac:dyDescent="0.25">
      <c r="A237" s="63">
        <v>45808</v>
      </c>
      <c r="B237" s="64" t="s">
        <v>136</v>
      </c>
      <c r="C237" s="65">
        <v>-337.04</v>
      </c>
      <c r="D237" s="65">
        <v>-64.037999999999997</v>
      </c>
      <c r="E237" s="65">
        <v>-400.07799999999997</v>
      </c>
      <c r="F237" s="67"/>
    </row>
    <row r="238" spans="1:6" x14ac:dyDescent="0.25">
      <c r="A238" s="63">
        <v>45795</v>
      </c>
      <c r="B238" s="64" t="s">
        <v>137</v>
      </c>
      <c r="C238" s="65">
        <v>5</v>
      </c>
      <c r="D238" s="65">
        <v>0.95</v>
      </c>
      <c r="E238" s="65">
        <v>6.95</v>
      </c>
      <c r="F238" s="67"/>
    </row>
    <row r="239" spans="1:6" x14ac:dyDescent="0.25">
      <c r="A239" s="63">
        <v>45824</v>
      </c>
      <c r="B239" s="64" t="s">
        <v>138</v>
      </c>
      <c r="C239" s="65">
        <v>1105.06</v>
      </c>
      <c r="D239" s="65">
        <v>209.96100000000001</v>
      </c>
      <c r="E239" s="65">
        <v>1316.021</v>
      </c>
      <c r="F239" s="67"/>
    </row>
    <row r="240" spans="1:6" x14ac:dyDescent="0.25">
      <c r="A240" s="63">
        <v>45824</v>
      </c>
      <c r="B240" s="64" t="s">
        <v>40</v>
      </c>
      <c r="C240" s="65">
        <v>320.38200000000001</v>
      </c>
      <c r="D240" s="65">
        <v>60.872999999999998</v>
      </c>
      <c r="E240" s="65">
        <v>382.255</v>
      </c>
      <c r="F240" s="67"/>
    </row>
    <row r="241" spans="1:6" x14ac:dyDescent="0.25">
      <c r="A241" s="63">
        <v>45826</v>
      </c>
      <c r="B241" s="64" t="s">
        <v>139</v>
      </c>
      <c r="C241" s="65">
        <v>60.820999999999998</v>
      </c>
      <c r="D241" s="65">
        <v>11.555999999999999</v>
      </c>
      <c r="E241" s="65">
        <v>80.271000000000001</v>
      </c>
      <c r="F241" s="67"/>
    </row>
    <row r="242" spans="1:6" x14ac:dyDescent="0.25">
      <c r="A242" s="63">
        <v>45826</v>
      </c>
      <c r="B242" s="64" t="s">
        <v>140</v>
      </c>
      <c r="C242" s="65">
        <v>168.06700000000001</v>
      </c>
      <c r="D242" s="65">
        <v>31.933</v>
      </c>
      <c r="E242" s="65">
        <v>229</v>
      </c>
      <c r="F242" s="67"/>
    </row>
    <row r="243" spans="1:6" x14ac:dyDescent="0.25">
      <c r="A243" s="63">
        <v>45826</v>
      </c>
      <c r="B243" s="64" t="s">
        <v>79</v>
      </c>
      <c r="C243" s="65">
        <v>49.087000000000003</v>
      </c>
      <c r="D243" s="65">
        <v>9.1370000000000005</v>
      </c>
      <c r="E243" s="65">
        <f>SUM(C243:D243)</f>
        <v>58.224000000000004</v>
      </c>
      <c r="F243" s="67"/>
    </row>
    <row r="244" spans="1:6" x14ac:dyDescent="0.25">
      <c r="A244" s="63">
        <v>45826</v>
      </c>
      <c r="B244" s="64" t="s">
        <v>153</v>
      </c>
      <c r="C244" s="65">
        <v>171.429</v>
      </c>
      <c r="D244" s="65">
        <v>32.570999999999998</v>
      </c>
      <c r="E244" s="65">
        <v>205</v>
      </c>
      <c r="F244" s="67"/>
    </row>
    <row r="245" spans="1:6" x14ac:dyDescent="0.25">
      <c r="A245" s="63">
        <v>45819</v>
      </c>
      <c r="B245" s="64" t="s">
        <v>141</v>
      </c>
      <c r="C245" s="65">
        <v>141.70599999999999</v>
      </c>
      <c r="D245" s="65">
        <v>26.923999999999999</v>
      </c>
      <c r="E245" s="65">
        <v>169.63</v>
      </c>
      <c r="F245" s="67"/>
    </row>
    <row r="246" spans="1:6" x14ac:dyDescent="0.25">
      <c r="A246" s="63">
        <v>45827</v>
      </c>
      <c r="B246" s="64" t="s">
        <v>137</v>
      </c>
      <c r="C246" s="65">
        <v>15.545999999999999</v>
      </c>
      <c r="D246" s="65">
        <v>2.9540000000000002</v>
      </c>
      <c r="E246" s="65">
        <v>19.5</v>
      </c>
      <c r="F246" s="67"/>
    </row>
    <row r="247" spans="1:6" x14ac:dyDescent="0.25">
      <c r="A247" s="63">
        <v>45827</v>
      </c>
      <c r="B247" s="64" t="s">
        <v>142</v>
      </c>
      <c r="C247" s="65">
        <v>7.5629999999999997</v>
      </c>
      <c r="D247" s="65">
        <v>1.4370000000000001</v>
      </c>
      <c r="E247" s="65">
        <v>10</v>
      </c>
      <c r="F247" s="67"/>
    </row>
    <row r="248" spans="1:6" x14ac:dyDescent="0.25">
      <c r="A248" s="63">
        <v>45827</v>
      </c>
      <c r="B248" s="64" t="s">
        <v>143</v>
      </c>
      <c r="C248" s="65">
        <v>256.09300000000002</v>
      </c>
      <c r="D248" s="65">
        <v>23.907</v>
      </c>
      <c r="E248" s="65">
        <v>280</v>
      </c>
      <c r="F248" s="67"/>
    </row>
    <row r="249" spans="1:6" x14ac:dyDescent="0.25">
      <c r="A249" s="63">
        <v>45828</v>
      </c>
      <c r="B249" s="64" t="s">
        <v>142</v>
      </c>
      <c r="C249" s="65">
        <v>23.613</v>
      </c>
      <c r="D249" s="65">
        <v>4.4870000000000001</v>
      </c>
      <c r="E249" s="65">
        <v>29.1</v>
      </c>
      <c r="F249" s="67"/>
    </row>
    <row r="250" spans="1:6" x14ac:dyDescent="0.25">
      <c r="A250" s="63">
        <v>45832</v>
      </c>
      <c r="B250" s="64" t="s">
        <v>6</v>
      </c>
      <c r="C250" s="65">
        <v>9877.6939999999995</v>
      </c>
      <c r="D250" s="65">
        <v>1876.7619999999999</v>
      </c>
      <c r="E250" s="65">
        <v>11797.976000000001</v>
      </c>
      <c r="F250" s="67"/>
    </row>
    <row r="251" spans="1:6" x14ac:dyDescent="0.25">
      <c r="A251" s="68">
        <v>45632</v>
      </c>
      <c r="B251" s="69" t="s">
        <v>144</v>
      </c>
      <c r="C251" s="70"/>
      <c r="D251" s="70"/>
      <c r="E251" s="70">
        <v>4998</v>
      </c>
      <c r="F251" s="67"/>
    </row>
    <row r="252" spans="1:6" x14ac:dyDescent="0.25">
      <c r="A252" s="63">
        <v>45836</v>
      </c>
      <c r="B252" s="64" t="s">
        <v>38</v>
      </c>
      <c r="C252" s="65">
        <v>44.281999999999996</v>
      </c>
      <c r="D252" s="65">
        <v>8.4149999999999991</v>
      </c>
      <c r="E252" s="65">
        <v>53.697000000000003</v>
      </c>
      <c r="F252" s="67"/>
    </row>
    <row r="253" spans="1:6" x14ac:dyDescent="0.25">
      <c r="A253" s="63">
        <v>45838</v>
      </c>
      <c r="B253" s="64" t="s">
        <v>6</v>
      </c>
      <c r="C253" s="65">
        <v>4153.6490000000003</v>
      </c>
      <c r="D253" s="65">
        <v>789.19299999999998</v>
      </c>
      <c r="E253" s="65">
        <v>4961.7219999999998</v>
      </c>
      <c r="F253" s="67"/>
    </row>
    <row r="254" spans="1:6" x14ac:dyDescent="0.25">
      <c r="A254" s="63">
        <v>45838</v>
      </c>
      <c r="B254" s="78" t="s">
        <v>154</v>
      </c>
      <c r="C254" s="65">
        <v>4289.402</v>
      </c>
      <c r="D254" s="65">
        <v>574.98599999999999</v>
      </c>
      <c r="E254" s="65">
        <v>4864.3879999999999</v>
      </c>
      <c r="F254" s="67"/>
    </row>
    <row r="255" spans="1:6" ht="18.75" x14ac:dyDescent="0.25">
      <c r="A255" s="68">
        <v>45696</v>
      </c>
      <c r="B255" s="79" t="s">
        <v>155</v>
      </c>
      <c r="C255" s="70"/>
      <c r="D255" s="70"/>
      <c r="E255" s="70">
        <v>392.7</v>
      </c>
      <c r="F255" s="75">
        <f>+E255*3%</f>
        <v>11.780999999999999</v>
      </c>
    </row>
    <row r="256" spans="1:6" ht="18.75" x14ac:dyDescent="0.25">
      <c r="A256" s="63">
        <v>45838</v>
      </c>
      <c r="B256" s="64" t="s">
        <v>145</v>
      </c>
      <c r="C256" s="65">
        <v>900</v>
      </c>
      <c r="D256" s="65">
        <v>171</v>
      </c>
      <c r="E256" s="65">
        <v>1071</v>
      </c>
      <c r="F256" s="71">
        <v>32.130000000000003</v>
      </c>
    </row>
    <row r="257" spans="1:6" ht="18.75" x14ac:dyDescent="0.25">
      <c r="A257" s="38">
        <v>45838</v>
      </c>
      <c r="B257" s="60" t="s">
        <v>156</v>
      </c>
      <c r="C257" s="37">
        <v>56.97</v>
      </c>
      <c r="D257" s="37">
        <v>3.363</v>
      </c>
      <c r="E257" s="37"/>
      <c r="F257" s="71"/>
    </row>
    <row r="258" spans="1:6" ht="19.5" thickBot="1" x14ac:dyDescent="0.3">
      <c r="A258" s="40" t="s">
        <v>3</v>
      </c>
      <c r="B258" s="41"/>
      <c r="C258" s="35">
        <f>SUM(C226:C257)</f>
        <v>33429.597999999998</v>
      </c>
      <c r="D258" s="35">
        <f>SUM(D226:D257)</f>
        <v>5971.7950000000001</v>
      </c>
      <c r="E258" s="35">
        <f>SUM(E226:E256)</f>
        <v>44765.112000000001</v>
      </c>
      <c r="F258" s="76">
        <f>SUM(F255:F256)</f>
        <v>43.911000000000001</v>
      </c>
    </row>
    <row r="261" spans="1:6" ht="15.75" thickBot="1" x14ac:dyDescent="0.3"/>
    <row r="262" spans="1:6" ht="36.75" customHeight="1" thickBot="1" x14ac:dyDescent="0.3">
      <c r="A262" s="126">
        <v>45839</v>
      </c>
      <c r="B262" s="127"/>
      <c r="C262" s="127"/>
      <c r="D262" s="127"/>
      <c r="E262" s="127"/>
    </row>
    <row r="263" spans="1:6" x14ac:dyDescent="0.25">
      <c r="A263" s="72">
        <v>45840</v>
      </c>
      <c r="B263" s="73" t="s">
        <v>152</v>
      </c>
      <c r="C263" s="74">
        <v>25.21</v>
      </c>
      <c r="D263" s="86">
        <v>4.79</v>
      </c>
      <c r="E263" s="74">
        <v>31</v>
      </c>
    </row>
    <row r="264" spans="1:6" x14ac:dyDescent="0.25">
      <c r="A264" s="44">
        <v>45841</v>
      </c>
      <c r="B264" s="45" t="s">
        <v>157</v>
      </c>
      <c r="C264" s="46">
        <f>224+336+224</f>
        <v>784</v>
      </c>
      <c r="D264" s="84">
        <f>16+24+16</f>
        <v>56</v>
      </c>
      <c r="E264" s="46">
        <f>+C264+D264</f>
        <v>840</v>
      </c>
    </row>
    <row r="265" spans="1:6" x14ac:dyDescent="0.25">
      <c r="A265" s="44">
        <v>45843</v>
      </c>
      <c r="B265" s="45" t="s">
        <v>158</v>
      </c>
      <c r="C265" s="46">
        <v>242.12200000000001</v>
      </c>
      <c r="D265" s="84">
        <v>16.878</v>
      </c>
      <c r="E265" s="46">
        <f>+C265+D265</f>
        <v>259</v>
      </c>
    </row>
    <row r="266" spans="1:6" x14ac:dyDescent="0.25">
      <c r="A266" s="44">
        <v>45843</v>
      </c>
      <c r="B266" s="45" t="s">
        <v>159</v>
      </c>
      <c r="C266" s="46">
        <v>10.186999999999999</v>
      </c>
      <c r="D266" s="84">
        <v>0.71299999999999997</v>
      </c>
      <c r="E266" s="46">
        <f>+C266+D266+1</f>
        <v>11.899999999999999</v>
      </c>
    </row>
    <row r="267" spans="1:6" x14ac:dyDescent="0.25">
      <c r="A267" s="44">
        <v>45845</v>
      </c>
      <c r="B267" s="45" t="s">
        <v>38</v>
      </c>
      <c r="C267" s="46">
        <v>4.1790000000000003</v>
      </c>
      <c r="D267" s="84">
        <v>0.79400000000000004</v>
      </c>
      <c r="E267" s="46">
        <f>+C267+D267+1</f>
        <v>5.9730000000000008</v>
      </c>
    </row>
    <row r="268" spans="1:6" x14ac:dyDescent="0.25">
      <c r="A268" s="44">
        <v>45844</v>
      </c>
      <c r="B268" s="45" t="s">
        <v>51</v>
      </c>
      <c r="C268" s="46">
        <v>4000</v>
      </c>
      <c r="D268" s="84">
        <v>760</v>
      </c>
      <c r="E268" s="46">
        <v>4761</v>
      </c>
    </row>
    <row r="269" spans="1:6" x14ac:dyDescent="0.25">
      <c r="A269" s="44">
        <v>45845</v>
      </c>
      <c r="B269" s="45" t="s">
        <v>158</v>
      </c>
      <c r="C269" s="46">
        <v>21.923999999999999</v>
      </c>
      <c r="D269" s="84">
        <v>3.976</v>
      </c>
      <c r="E269" s="46">
        <v>25.9</v>
      </c>
    </row>
    <row r="270" spans="1:6" x14ac:dyDescent="0.25">
      <c r="A270" s="44">
        <v>45849</v>
      </c>
      <c r="B270" s="45" t="s">
        <v>160</v>
      </c>
      <c r="C270" s="46">
        <f>+E270-D270</f>
        <v>36.781999999999996</v>
      </c>
      <c r="D270" s="84">
        <v>6.6479999999999997</v>
      </c>
      <c r="E270" s="46">
        <v>43.43</v>
      </c>
    </row>
    <row r="271" spans="1:6" x14ac:dyDescent="0.25">
      <c r="A271" s="44">
        <v>45849</v>
      </c>
      <c r="B271" s="45" t="s">
        <v>161</v>
      </c>
      <c r="C271" s="46">
        <f>+E271-D271</f>
        <v>90.570999999999998</v>
      </c>
      <c r="D271" s="84">
        <v>15.409000000000001</v>
      </c>
      <c r="E271" s="46">
        <v>105.98</v>
      </c>
    </row>
    <row r="272" spans="1:6" x14ac:dyDescent="0.25">
      <c r="A272" s="44">
        <v>45848</v>
      </c>
      <c r="B272" s="45" t="s">
        <v>101</v>
      </c>
      <c r="C272" s="46">
        <v>720</v>
      </c>
      <c r="D272" s="84">
        <v>136.80000000000001</v>
      </c>
      <c r="E272" s="46">
        <v>857.8</v>
      </c>
    </row>
    <row r="273" spans="1:5" x14ac:dyDescent="0.25">
      <c r="A273" s="44">
        <v>45848</v>
      </c>
      <c r="B273" s="45" t="s">
        <v>158</v>
      </c>
      <c r="C273" s="46">
        <v>23.689</v>
      </c>
      <c r="D273" s="84">
        <v>4.3109999999999999</v>
      </c>
      <c r="E273" s="46">
        <v>28</v>
      </c>
    </row>
    <row r="274" spans="1:5" x14ac:dyDescent="0.25">
      <c r="A274" s="44">
        <v>45846</v>
      </c>
      <c r="B274" s="45" t="s">
        <v>32</v>
      </c>
      <c r="C274" s="46">
        <v>4288.3869999999997</v>
      </c>
      <c r="D274" s="84">
        <v>814.79399999999998</v>
      </c>
      <c r="E274" s="46">
        <v>5122.6409999999996</v>
      </c>
    </row>
    <row r="275" spans="1:5" x14ac:dyDescent="0.25">
      <c r="A275" s="44">
        <v>45853</v>
      </c>
      <c r="B275" s="85" t="s">
        <v>6</v>
      </c>
      <c r="C275" s="46">
        <v>4362.7250000000004</v>
      </c>
      <c r="D275" s="46">
        <v>828.91800000000001</v>
      </c>
      <c r="E275" s="46">
        <v>5211.4260000000004</v>
      </c>
    </row>
    <row r="276" spans="1:5" x14ac:dyDescent="0.25">
      <c r="A276" s="44" t="s">
        <v>162</v>
      </c>
      <c r="B276" s="85" t="s">
        <v>163</v>
      </c>
      <c r="C276" s="46">
        <v>320</v>
      </c>
      <c r="D276" s="46">
        <v>60.8</v>
      </c>
      <c r="E276" s="46">
        <v>381.8</v>
      </c>
    </row>
    <row r="277" spans="1:5" x14ac:dyDescent="0.25">
      <c r="A277" s="44">
        <v>45857</v>
      </c>
      <c r="B277" s="85" t="s">
        <v>164</v>
      </c>
      <c r="C277" s="46">
        <v>8.4039999999999999</v>
      </c>
      <c r="D277" s="46">
        <v>1.597</v>
      </c>
      <c r="E277" s="46">
        <v>11.000999999999999</v>
      </c>
    </row>
    <row r="278" spans="1:5" x14ac:dyDescent="0.25">
      <c r="A278" s="44">
        <v>45859</v>
      </c>
      <c r="B278" s="85" t="s">
        <v>165</v>
      </c>
      <c r="C278" s="46">
        <v>340.33600000000001</v>
      </c>
      <c r="D278" s="46">
        <v>64.664000000000001</v>
      </c>
      <c r="E278" s="46">
        <v>406</v>
      </c>
    </row>
    <row r="279" spans="1:5" x14ac:dyDescent="0.25">
      <c r="A279" s="44">
        <v>45854</v>
      </c>
      <c r="B279" s="45" t="s">
        <v>166</v>
      </c>
      <c r="C279" s="46">
        <v>70.587999999999994</v>
      </c>
      <c r="D279" s="46">
        <v>13.412000000000001</v>
      </c>
      <c r="E279" s="46">
        <v>85</v>
      </c>
    </row>
    <row r="280" spans="1:5" x14ac:dyDescent="0.25">
      <c r="A280" s="44">
        <v>45860</v>
      </c>
      <c r="B280" s="45" t="s">
        <v>54</v>
      </c>
      <c r="C280" s="46">
        <f>+E280-D280</f>
        <v>126.90899999999999</v>
      </c>
      <c r="D280" s="46">
        <v>17.091000000000001</v>
      </c>
      <c r="E280" s="46">
        <v>144</v>
      </c>
    </row>
    <row r="281" spans="1:5" x14ac:dyDescent="0.25">
      <c r="A281" s="44">
        <v>45861</v>
      </c>
      <c r="B281" s="45" t="s">
        <v>167</v>
      </c>
      <c r="C281" s="46">
        <v>20</v>
      </c>
      <c r="D281" s="46">
        <v>3.8</v>
      </c>
      <c r="E281" s="46">
        <v>24.8</v>
      </c>
    </row>
    <row r="282" spans="1:5" x14ac:dyDescent="0.25">
      <c r="A282" s="44">
        <v>45866</v>
      </c>
      <c r="B282" s="45" t="s">
        <v>38</v>
      </c>
      <c r="C282" s="46">
        <v>22.338000000000001</v>
      </c>
      <c r="D282" s="46">
        <v>4.2450000000000001</v>
      </c>
      <c r="E282" s="46">
        <v>27.582999999999998</v>
      </c>
    </row>
    <row r="283" spans="1:5" x14ac:dyDescent="0.25">
      <c r="A283" s="44">
        <v>45865</v>
      </c>
      <c r="B283" s="45" t="s">
        <v>137</v>
      </c>
      <c r="C283" s="46">
        <v>10.162000000000001</v>
      </c>
      <c r="D283" s="46">
        <v>1.931</v>
      </c>
      <c r="E283" s="46">
        <v>13.093</v>
      </c>
    </row>
    <row r="284" spans="1:5" x14ac:dyDescent="0.25">
      <c r="A284" s="44">
        <v>45867</v>
      </c>
      <c r="B284" s="45" t="s">
        <v>137</v>
      </c>
      <c r="C284" s="46">
        <v>11.475</v>
      </c>
      <c r="D284" s="46">
        <v>2.1800000000000002</v>
      </c>
      <c r="E284" s="46">
        <v>14.654999999999999</v>
      </c>
    </row>
    <row r="285" spans="1:5" x14ac:dyDescent="0.25">
      <c r="A285" s="44">
        <v>45853</v>
      </c>
      <c r="B285" s="45" t="s">
        <v>32</v>
      </c>
      <c r="C285" s="46">
        <v>-837.76</v>
      </c>
      <c r="D285" s="46">
        <v>-159.17400000000001</v>
      </c>
      <c r="E285" s="46">
        <v>-995.93399999999997</v>
      </c>
    </row>
    <row r="286" spans="1:5" x14ac:dyDescent="0.25">
      <c r="A286" s="44">
        <v>45861</v>
      </c>
      <c r="B286" s="45" t="s">
        <v>32</v>
      </c>
      <c r="C286" s="45">
        <v>4311.6180000000004</v>
      </c>
      <c r="D286" s="46">
        <v>819.20699999999999</v>
      </c>
      <c r="E286" s="46">
        <v>5150.3850000000002</v>
      </c>
    </row>
    <row r="287" spans="1:5" x14ac:dyDescent="0.25">
      <c r="A287" s="44">
        <v>45867</v>
      </c>
      <c r="B287" s="45" t="s">
        <v>168</v>
      </c>
      <c r="C287" s="45">
        <v>95.944000000000003</v>
      </c>
      <c r="D287" s="46">
        <v>18.228999999999999</v>
      </c>
      <c r="E287" s="46">
        <v>115.173</v>
      </c>
    </row>
    <row r="288" spans="1:5" x14ac:dyDescent="0.25">
      <c r="A288" s="44">
        <v>45867</v>
      </c>
      <c r="B288" s="45" t="s">
        <v>169</v>
      </c>
      <c r="C288" s="45">
        <v>60.898000000000003</v>
      </c>
      <c r="D288" s="46">
        <v>11.571</v>
      </c>
      <c r="E288" s="46">
        <v>73.468999999999994</v>
      </c>
    </row>
    <row r="289" spans="1:5" x14ac:dyDescent="0.25">
      <c r="A289" s="44">
        <v>45868</v>
      </c>
      <c r="B289" s="45" t="s">
        <v>170</v>
      </c>
      <c r="C289" s="45">
        <v>37.799999999999997</v>
      </c>
      <c r="D289" s="46">
        <v>7.1820000000000004</v>
      </c>
      <c r="E289" s="46">
        <v>45.981999999999999</v>
      </c>
    </row>
    <row r="290" spans="1:5" x14ac:dyDescent="0.25">
      <c r="A290" s="44">
        <v>45868</v>
      </c>
      <c r="B290" s="45" t="s">
        <v>137</v>
      </c>
      <c r="C290" s="45">
        <v>28.803000000000001</v>
      </c>
      <c r="D290" s="46">
        <v>5.4729999999999999</v>
      </c>
      <c r="E290" s="46">
        <v>35.276000000000003</v>
      </c>
    </row>
    <row r="291" spans="1:5" x14ac:dyDescent="0.25">
      <c r="A291" s="44">
        <v>45869</v>
      </c>
      <c r="B291" s="45" t="s">
        <v>137</v>
      </c>
      <c r="C291" s="45">
        <v>7.1429999999999998</v>
      </c>
      <c r="D291" s="46">
        <v>1.357</v>
      </c>
      <c r="E291" s="46">
        <v>9.5</v>
      </c>
    </row>
    <row r="292" spans="1:5" x14ac:dyDescent="0.25">
      <c r="A292" s="44">
        <v>45867</v>
      </c>
      <c r="B292" s="45" t="s">
        <v>38</v>
      </c>
      <c r="C292" s="45">
        <v>29.375</v>
      </c>
      <c r="D292" s="46">
        <v>5.5810000000000004</v>
      </c>
      <c r="E292" s="46">
        <v>35.956000000000003</v>
      </c>
    </row>
    <row r="293" spans="1:5" x14ac:dyDescent="0.25">
      <c r="A293" s="44">
        <v>45869</v>
      </c>
      <c r="B293" s="45" t="s">
        <v>32</v>
      </c>
      <c r="C293" s="45">
        <v>17376.563999999998</v>
      </c>
      <c r="D293" s="46">
        <v>3301.547</v>
      </c>
      <c r="E293" s="46">
        <v>20753.91</v>
      </c>
    </row>
    <row r="294" spans="1:5" x14ac:dyDescent="0.25">
      <c r="A294" s="44">
        <v>45868</v>
      </c>
      <c r="B294" s="45" t="s">
        <v>38</v>
      </c>
      <c r="C294" s="45">
        <v>13.786</v>
      </c>
      <c r="D294" s="46">
        <v>2.6190000000000002</v>
      </c>
      <c r="E294" s="46">
        <v>17.405000000000001</v>
      </c>
    </row>
    <row r="295" spans="1:5" x14ac:dyDescent="0.25">
      <c r="A295" s="44">
        <v>45869</v>
      </c>
      <c r="B295" s="45" t="s">
        <v>156</v>
      </c>
      <c r="C295" s="45"/>
      <c r="D295" s="46">
        <v>4.6550000000000002</v>
      </c>
      <c r="E295" s="46"/>
    </row>
    <row r="296" spans="1:5" x14ac:dyDescent="0.25">
      <c r="A296" s="44">
        <v>45869</v>
      </c>
      <c r="B296" s="45" t="s">
        <v>171</v>
      </c>
      <c r="C296" s="45">
        <v>909.303</v>
      </c>
      <c r="D296" s="46">
        <v>142.595</v>
      </c>
      <c r="E296" s="46">
        <v>1051.8979999999999</v>
      </c>
    </row>
    <row r="297" spans="1:5" x14ac:dyDescent="0.25">
      <c r="A297" s="42"/>
      <c r="B297" s="43" t="s">
        <v>32</v>
      </c>
      <c r="C297" s="39"/>
      <c r="D297" s="39"/>
      <c r="E297" s="39"/>
    </row>
    <row r="298" spans="1:5" x14ac:dyDescent="0.25">
      <c r="A298" s="81">
        <v>45852</v>
      </c>
      <c r="B298" s="82" t="s">
        <v>144</v>
      </c>
      <c r="C298" s="83"/>
      <c r="D298" s="83"/>
      <c r="E298" s="83"/>
    </row>
    <row r="299" spans="1:5" x14ac:dyDescent="0.25">
      <c r="A299" s="81">
        <v>45859</v>
      </c>
      <c r="B299" s="82" t="s">
        <v>144</v>
      </c>
      <c r="C299" s="83"/>
      <c r="D299" s="83"/>
      <c r="E299" s="83"/>
    </row>
    <row r="300" spans="1:5" x14ac:dyDescent="0.25">
      <c r="A300" s="81">
        <v>45862</v>
      </c>
      <c r="B300" s="82" t="s">
        <v>144</v>
      </c>
      <c r="C300" s="83"/>
      <c r="D300" s="83"/>
      <c r="E300" s="83"/>
    </row>
    <row r="301" spans="1:5" x14ac:dyDescent="0.25">
      <c r="A301" s="81">
        <v>45866</v>
      </c>
      <c r="B301" s="82" t="s">
        <v>144</v>
      </c>
      <c r="C301" s="83"/>
      <c r="D301" s="83"/>
      <c r="E301" s="83"/>
    </row>
    <row r="302" spans="1:5" x14ac:dyDescent="0.25">
      <c r="A302" s="81">
        <v>45868</v>
      </c>
      <c r="B302" s="82" t="s">
        <v>144</v>
      </c>
      <c r="C302" s="83"/>
      <c r="D302" s="83"/>
      <c r="E302" s="83"/>
    </row>
    <row r="303" spans="1:5" x14ac:dyDescent="0.25">
      <c r="A303" s="81">
        <v>45850</v>
      </c>
      <c r="B303" s="82" t="s">
        <v>37</v>
      </c>
      <c r="C303" s="83"/>
      <c r="D303" s="83"/>
      <c r="E303" s="83">
        <v>4799</v>
      </c>
    </row>
    <row r="304" spans="1:5" x14ac:dyDescent="0.25">
      <c r="A304" s="81">
        <v>45853</v>
      </c>
      <c r="B304" s="82" t="s">
        <v>37</v>
      </c>
      <c r="C304" s="83"/>
      <c r="D304" s="83"/>
      <c r="E304" s="83">
        <v>4799</v>
      </c>
    </row>
    <row r="305" spans="1:5" x14ac:dyDescent="0.25">
      <c r="A305" s="40"/>
      <c r="B305" s="41"/>
      <c r="C305" s="35"/>
      <c r="D305" s="35">
        <f>SUM(D263:D296)</f>
        <v>6980.5929999999998</v>
      </c>
      <c r="E305" s="35"/>
    </row>
    <row r="306" spans="1:5" ht="15.75" thickBot="1" x14ac:dyDescent="0.3"/>
    <row r="307" spans="1:5" ht="33.75" x14ac:dyDescent="0.25">
      <c r="A307" s="110" t="s">
        <v>172</v>
      </c>
      <c r="B307" s="111"/>
      <c r="C307" s="111"/>
      <c r="D307" s="111"/>
      <c r="E307" s="111"/>
    </row>
    <row r="308" spans="1:5" s="88" customFormat="1" ht="15.75" customHeight="1" x14ac:dyDescent="0.25">
      <c r="A308" s="87">
        <v>45871</v>
      </c>
      <c r="B308" s="87" t="s">
        <v>59</v>
      </c>
      <c r="C308" s="89">
        <v>35.997999999999998</v>
      </c>
      <c r="D308" s="95">
        <v>6.84</v>
      </c>
      <c r="E308" s="89">
        <v>43.838000000000001</v>
      </c>
    </row>
    <row r="309" spans="1:5" s="88" customFormat="1" ht="15.75" customHeight="1" x14ac:dyDescent="0.25">
      <c r="A309" s="90">
        <v>45871</v>
      </c>
      <c r="B309" s="90" t="s">
        <v>173</v>
      </c>
      <c r="C309" s="91">
        <v>41</v>
      </c>
      <c r="D309" s="96">
        <v>7.8680000000000003</v>
      </c>
      <c r="E309" s="91">
        <v>50.277999999999999</v>
      </c>
    </row>
    <row r="310" spans="1:5" s="88" customFormat="1" ht="15.75" customHeight="1" x14ac:dyDescent="0.25">
      <c r="A310" s="90">
        <v>45871</v>
      </c>
      <c r="B310" s="90" t="s">
        <v>174</v>
      </c>
      <c r="C310" s="91">
        <v>53.13</v>
      </c>
      <c r="D310" s="96">
        <v>10.095000000000001</v>
      </c>
      <c r="E310" s="91">
        <v>64.224999999999994</v>
      </c>
    </row>
    <row r="311" spans="1:5" x14ac:dyDescent="0.25">
      <c r="A311" s="72">
        <v>45874</v>
      </c>
      <c r="B311" s="73" t="s">
        <v>137</v>
      </c>
      <c r="C311" s="74">
        <v>12.605</v>
      </c>
      <c r="D311" s="97">
        <v>2.395</v>
      </c>
      <c r="E311" s="74">
        <v>16</v>
      </c>
    </row>
    <row r="312" spans="1:5" x14ac:dyDescent="0.25">
      <c r="A312" s="44">
        <v>45874</v>
      </c>
      <c r="B312" s="45" t="s">
        <v>137</v>
      </c>
      <c r="C312" s="46">
        <v>70.599999999999994</v>
      </c>
      <c r="D312" s="98">
        <v>13.414</v>
      </c>
      <c r="E312" s="46">
        <v>85.013999999999996</v>
      </c>
    </row>
    <row r="313" spans="1:5" x14ac:dyDescent="0.25">
      <c r="A313" s="44">
        <v>45874</v>
      </c>
      <c r="B313" s="45" t="s">
        <v>175</v>
      </c>
      <c r="C313" s="46">
        <f>224*2+336</f>
        <v>784</v>
      </c>
      <c r="D313" s="98">
        <f>16+24+16</f>
        <v>56</v>
      </c>
      <c r="E313" s="46">
        <f>+C313+D313</f>
        <v>840</v>
      </c>
    </row>
    <row r="314" spans="1:5" x14ac:dyDescent="0.25">
      <c r="A314" s="44">
        <v>45874</v>
      </c>
      <c r="B314" s="45" t="s">
        <v>176</v>
      </c>
      <c r="C314" s="46">
        <v>296.928</v>
      </c>
      <c r="D314" s="98">
        <f>+C314*19%</f>
        <v>56.416319999999999</v>
      </c>
      <c r="E314" s="46">
        <v>354.34399999999999</v>
      </c>
    </row>
    <row r="315" spans="1:5" x14ac:dyDescent="0.25">
      <c r="A315" s="44">
        <v>45876</v>
      </c>
      <c r="B315" s="45" t="s">
        <v>177</v>
      </c>
      <c r="C315" s="46">
        <v>11.76</v>
      </c>
      <c r="D315" s="99">
        <v>2.234</v>
      </c>
      <c r="E315" s="46">
        <v>14.994</v>
      </c>
    </row>
    <row r="316" spans="1:5" x14ac:dyDescent="0.25">
      <c r="A316" s="44">
        <v>45876</v>
      </c>
      <c r="B316" s="45" t="s">
        <v>178</v>
      </c>
      <c r="C316" s="46">
        <v>59.671999999999997</v>
      </c>
      <c r="D316" s="98">
        <v>11.337999999999999</v>
      </c>
      <c r="E316" s="46">
        <v>72.010000000000005</v>
      </c>
    </row>
    <row r="317" spans="1:5" x14ac:dyDescent="0.25">
      <c r="A317" s="44">
        <v>45877</v>
      </c>
      <c r="B317" s="45" t="s">
        <v>36</v>
      </c>
      <c r="C317" s="46">
        <v>221.34800000000001</v>
      </c>
      <c r="D317" s="98">
        <v>42.055999999999997</v>
      </c>
      <c r="E317" s="46">
        <v>264.404</v>
      </c>
    </row>
    <row r="318" spans="1:5" x14ac:dyDescent="0.25">
      <c r="A318" s="44">
        <v>45877</v>
      </c>
      <c r="B318" s="45" t="s">
        <v>180</v>
      </c>
      <c r="C318" s="46">
        <v>40.4</v>
      </c>
      <c r="D318" s="98">
        <v>7.6760000000000002</v>
      </c>
      <c r="E318" s="46">
        <v>49.076000000000001</v>
      </c>
    </row>
    <row r="319" spans="1:5" s="103" customFormat="1" x14ac:dyDescent="0.25">
      <c r="A319" s="100">
        <v>45878</v>
      </c>
      <c r="B319" s="80" t="s">
        <v>78</v>
      </c>
      <c r="C319" s="101">
        <v>6991.0349999999999</v>
      </c>
      <c r="D319" s="102">
        <f>1328.297+10.04</f>
        <v>1338.337</v>
      </c>
      <c r="E319" s="101">
        <v>8504.5020000000004</v>
      </c>
    </row>
    <row r="320" spans="1:5" s="103" customFormat="1" x14ac:dyDescent="0.25">
      <c r="A320" s="100">
        <v>45881</v>
      </c>
      <c r="B320" s="80" t="s">
        <v>32</v>
      </c>
      <c r="C320" s="101">
        <v>14403.035</v>
      </c>
      <c r="D320" s="102">
        <v>2736.5770000000002</v>
      </c>
      <c r="E320" s="101">
        <v>17202.612000000001</v>
      </c>
    </row>
    <row r="321" spans="1:5" x14ac:dyDescent="0.25">
      <c r="A321" s="44">
        <v>45882</v>
      </c>
      <c r="B321" s="45" t="s">
        <v>137</v>
      </c>
      <c r="C321" s="46">
        <v>3.7829999999999999</v>
      </c>
      <c r="D321" s="84">
        <v>0.71899999999999997</v>
      </c>
      <c r="E321" s="46">
        <v>5.5</v>
      </c>
    </row>
    <row r="322" spans="1:5" x14ac:dyDescent="0.25">
      <c r="A322" s="44">
        <v>45888</v>
      </c>
      <c r="B322" s="45" t="s">
        <v>32</v>
      </c>
      <c r="C322" s="46">
        <v>19518.343000000001</v>
      </c>
      <c r="D322" s="84">
        <v>3708.5030000000002</v>
      </c>
      <c r="E322" s="46">
        <v>23311.957999999999</v>
      </c>
    </row>
    <row r="323" spans="1:5" x14ac:dyDescent="0.25">
      <c r="A323" s="44">
        <v>45888</v>
      </c>
      <c r="B323" s="45" t="s">
        <v>181</v>
      </c>
      <c r="C323" s="46">
        <v>200.84</v>
      </c>
      <c r="D323" s="84">
        <v>38.159999999999997</v>
      </c>
      <c r="E323" s="46">
        <v>240</v>
      </c>
    </row>
    <row r="324" spans="1:5" x14ac:dyDescent="0.25">
      <c r="A324" s="44">
        <v>45889</v>
      </c>
      <c r="B324" s="85" t="s">
        <v>38</v>
      </c>
      <c r="C324" s="46">
        <v>20.795000000000002</v>
      </c>
      <c r="D324" s="46">
        <v>3.9510000000000001</v>
      </c>
      <c r="E324" s="46">
        <v>25.745999999999999</v>
      </c>
    </row>
    <row r="325" spans="1:5" x14ac:dyDescent="0.25">
      <c r="A325" s="44">
        <v>45889</v>
      </c>
      <c r="B325" s="85" t="s">
        <v>60</v>
      </c>
      <c r="C325" s="46">
        <v>23.373999999999999</v>
      </c>
      <c r="D325" s="46">
        <v>4.4409999999999998</v>
      </c>
      <c r="E325" s="46">
        <v>28.815000000000001</v>
      </c>
    </row>
    <row r="326" spans="1:5" x14ac:dyDescent="0.25">
      <c r="A326" s="44">
        <v>45892</v>
      </c>
      <c r="B326" s="85" t="s">
        <v>78</v>
      </c>
      <c r="C326" s="46">
        <v>7822</v>
      </c>
      <c r="D326" s="46">
        <v>1479.731</v>
      </c>
      <c r="E326" s="46">
        <v>9302.9889999999996</v>
      </c>
    </row>
    <row r="327" spans="1:5" x14ac:dyDescent="0.25">
      <c r="A327" s="44">
        <v>45892</v>
      </c>
      <c r="B327" s="85" t="s">
        <v>182</v>
      </c>
      <c r="C327" s="46">
        <v>20.167999999999999</v>
      </c>
      <c r="D327" s="46">
        <v>3.8319999999999999</v>
      </c>
      <c r="E327" s="46">
        <v>25</v>
      </c>
    </row>
    <row r="328" spans="1:5" x14ac:dyDescent="0.25">
      <c r="A328" s="44">
        <v>45893</v>
      </c>
      <c r="B328" s="85" t="s">
        <v>183</v>
      </c>
      <c r="C328" s="46">
        <v>226.90799999999999</v>
      </c>
      <c r="D328" s="46">
        <v>43.113</v>
      </c>
      <c r="E328" s="46">
        <v>271.02100000000002</v>
      </c>
    </row>
    <row r="329" spans="1:5" x14ac:dyDescent="0.25">
      <c r="A329" s="44">
        <v>45893</v>
      </c>
      <c r="B329" s="85" t="s">
        <v>184</v>
      </c>
      <c r="C329" s="46">
        <v>121.018</v>
      </c>
      <c r="D329" s="46">
        <v>22.992999999999999</v>
      </c>
      <c r="E329" s="46">
        <v>144</v>
      </c>
    </row>
    <row r="330" spans="1:5" x14ac:dyDescent="0.25">
      <c r="A330" s="44">
        <v>45894</v>
      </c>
      <c r="B330" s="85" t="s">
        <v>185</v>
      </c>
      <c r="C330" s="46">
        <v>1154.3150000000001</v>
      </c>
      <c r="D330" s="46">
        <v>219.31800000000001</v>
      </c>
      <c r="E330" s="46">
        <v>1374.6320000000001</v>
      </c>
    </row>
    <row r="331" spans="1:5" x14ac:dyDescent="0.25">
      <c r="A331" s="44">
        <v>45895</v>
      </c>
      <c r="B331" s="85" t="s">
        <v>32</v>
      </c>
      <c r="C331" s="46">
        <v>9055.3269999999993</v>
      </c>
      <c r="D331" s="46">
        <v>1720.5119999999999</v>
      </c>
      <c r="E331" s="46">
        <v>10815.819</v>
      </c>
    </row>
    <row r="332" spans="1:5" x14ac:dyDescent="0.25">
      <c r="A332" s="44">
        <v>45896</v>
      </c>
      <c r="B332" s="85" t="s">
        <v>182</v>
      </c>
      <c r="C332" s="46">
        <v>270</v>
      </c>
      <c r="D332" s="46">
        <v>51.3</v>
      </c>
      <c r="E332" s="46">
        <v>322.3</v>
      </c>
    </row>
    <row r="333" spans="1:5" x14ac:dyDescent="0.25">
      <c r="A333" s="44">
        <v>45896</v>
      </c>
      <c r="B333" s="85" t="s">
        <v>182</v>
      </c>
      <c r="C333" s="46">
        <v>270</v>
      </c>
      <c r="D333" s="46">
        <v>51.3</v>
      </c>
      <c r="E333" s="46">
        <v>322.3</v>
      </c>
    </row>
    <row r="334" spans="1:5" x14ac:dyDescent="0.25">
      <c r="A334" s="44">
        <v>45899</v>
      </c>
      <c r="B334" s="85" t="s">
        <v>182</v>
      </c>
      <c r="C334" s="46">
        <v>200.84</v>
      </c>
      <c r="D334" s="46">
        <v>38.159999999999997</v>
      </c>
      <c r="E334" s="46">
        <v>240</v>
      </c>
    </row>
    <row r="335" spans="1:5" x14ac:dyDescent="0.25">
      <c r="A335" s="44">
        <v>45899</v>
      </c>
      <c r="B335" s="85" t="s">
        <v>186</v>
      </c>
      <c r="C335" s="46">
        <v>178.20599999999999</v>
      </c>
      <c r="D335" s="46">
        <v>33.859000000000002</v>
      </c>
      <c r="E335" s="46">
        <v>213.065</v>
      </c>
    </row>
    <row r="336" spans="1:5" ht="23.25" customHeight="1" x14ac:dyDescent="0.25">
      <c r="A336" s="104">
        <v>45878</v>
      </c>
      <c r="B336" s="105" t="s">
        <v>179</v>
      </c>
      <c r="C336" s="106">
        <f>SUM(C308:C335)</f>
        <v>62107.427999999993</v>
      </c>
      <c r="D336" s="106">
        <f>SUM(D308:D335)</f>
        <v>11711.138319999998</v>
      </c>
      <c r="E336" s="106">
        <v>4658.8500000000004</v>
      </c>
    </row>
    <row r="337" spans="1:5" ht="30.75" customHeight="1" thickBot="1" x14ac:dyDescent="0.3">
      <c r="A337" s="92" t="s">
        <v>3</v>
      </c>
      <c r="B337" s="93"/>
      <c r="C337" s="94"/>
      <c r="D337" s="94">
        <v>11711.138000000001</v>
      </c>
      <c r="E337" s="94">
        <f>SUM(E308:E335)</f>
        <v>74204.44200000001</v>
      </c>
    </row>
    <row r="338" spans="1:5" ht="33.75" x14ac:dyDescent="0.25">
      <c r="A338" s="110">
        <v>45901</v>
      </c>
      <c r="B338" s="111"/>
      <c r="C338" s="111"/>
      <c r="D338" s="111"/>
      <c r="E338" s="111"/>
    </row>
    <row r="339" spans="1:5" ht="15.75" x14ac:dyDescent="0.25">
      <c r="A339" s="87">
        <v>45870</v>
      </c>
      <c r="B339" s="87" t="s">
        <v>187</v>
      </c>
      <c r="C339" s="89">
        <v>37.941000000000003</v>
      </c>
      <c r="D339" s="95">
        <f>1.437+2.126</f>
        <v>3.5629999999999997</v>
      </c>
      <c r="E339" s="107">
        <v>41.58</v>
      </c>
    </row>
    <row r="340" spans="1:5" ht="15.75" x14ac:dyDescent="0.25">
      <c r="A340" s="90" t="s">
        <v>189</v>
      </c>
      <c r="B340" s="90" t="s">
        <v>191</v>
      </c>
      <c r="C340" s="108">
        <v>94.545000000000002</v>
      </c>
      <c r="D340" s="96">
        <v>14.353999999999999</v>
      </c>
      <c r="E340" s="109">
        <v>109.899</v>
      </c>
    </row>
    <row r="341" spans="1:5" ht="15.75" x14ac:dyDescent="0.25">
      <c r="A341" s="90" t="s">
        <v>190</v>
      </c>
      <c r="B341" s="90" t="s">
        <v>182</v>
      </c>
      <c r="C341" s="91">
        <v>14.503</v>
      </c>
      <c r="D341" s="96">
        <v>2.7559999999999998</v>
      </c>
      <c r="E341" s="91">
        <v>18.259</v>
      </c>
    </row>
    <row r="342" spans="1:5" ht="15.75" x14ac:dyDescent="0.25">
      <c r="A342" s="90">
        <v>45904</v>
      </c>
      <c r="B342" s="90" t="s">
        <v>193</v>
      </c>
      <c r="C342" s="91">
        <v>128</v>
      </c>
      <c r="D342" s="96">
        <v>24.32</v>
      </c>
      <c r="E342" s="91">
        <v>153.32</v>
      </c>
    </row>
    <row r="343" spans="1:5" ht="15.75" x14ac:dyDescent="0.25">
      <c r="A343" s="90">
        <v>45905</v>
      </c>
      <c r="B343" s="90" t="s">
        <v>188</v>
      </c>
      <c r="C343" s="91">
        <v>389.524</v>
      </c>
      <c r="D343" s="96">
        <v>74.010000000000005</v>
      </c>
      <c r="E343" s="91">
        <v>463.53399999999999</v>
      </c>
    </row>
    <row r="344" spans="1:5" x14ac:dyDescent="0.25">
      <c r="A344" s="72">
        <v>45905</v>
      </c>
      <c r="B344" s="73" t="s">
        <v>188</v>
      </c>
      <c r="C344" s="74">
        <v>43.893000000000001</v>
      </c>
      <c r="D344" s="97">
        <f>+E344-C344</f>
        <v>9.3399999999999963</v>
      </c>
      <c r="E344" s="74">
        <v>53.232999999999997</v>
      </c>
    </row>
    <row r="345" spans="1:5" x14ac:dyDescent="0.25">
      <c r="A345" s="44">
        <v>45908</v>
      </c>
      <c r="B345" s="45" t="s">
        <v>188</v>
      </c>
      <c r="C345" s="46">
        <v>37.469000000000001</v>
      </c>
      <c r="D345" s="98">
        <v>7.1189999999999998</v>
      </c>
      <c r="E345" s="46">
        <v>45.588000000000001</v>
      </c>
    </row>
    <row r="346" spans="1:5" x14ac:dyDescent="0.25">
      <c r="A346" s="44">
        <v>45877</v>
      </c>
      <c r="B346" s="45" t="s">
        <v>188</v>
      </c>
      <c r="C346" s="46">
        <v>13.897</v>
      </c>
      <c r="D346" s="98">
        <v>2.64</v>
      </c>
      <c r="E346" s="46">
        <v>13.897</v>
      </c>
    </row>
    <row r="347" spans="1:5" x14ac:dyDescent="0.25">
      <c r="A347" s="44">
        <v>45909</v>
      </c>
      <c r="B347" s="45" t="s">
        <v>182</v>
      </c>
      <c r="C347" s="46">
        <v>10.084</v>
      </c>
      <c r="D347" s="98">
        <v>1.9159999999999999</v>
      </c>
      <c r="E347" s="46">
        <v>13</v>
      </c>
    </row>
    <row r="348" spans="1:5" x14ac:dyDescent="0.25">
      <c r="A348" s="44">
        <v>45909</v>
      </c>
      <c r="B348" s="45" t="s">
        <v>194</v>
      </c>
      <c r="C348" s="46">
        <v>1141.1759999999999</v>
      </c>
      <c r="D348" s="98">
        <v>216.82300000000001</v>
      </c>
      <c r="E348" s="46">
        <v>1358.999</v>
      </c>
    </row>
    <row r="349" spans="1:5" x14ac:dyDescent="0.25">
      <c r="A349" s="44">
        <v>45909</v>
      </c>
      <c r="B349" s="45" t="s">
        <v>195</v>
      </c>
      <c r="C349" s="46">
        <v>108.557</v>
      </c>
      <c r="D349" s="98">
        <v>20.626000000000001</v>
      </c>
      <c r="E349" s="46">
        <v>130.18299999999999</v>
      </c>
    </row>
    <row r="350" spans="1:5" x14ac:dyDescent="0.25">
      <c r="A350" s="44">
        <v>45910</v>
      </c>
      <c r="B350" s="45" t="s">
        <v>182</v>
      </c>
      <c r="C350" s="46">
        <v>67.896000000000001</v>
      </c>
      <c r="D350" s="99">
        <v>12.9</v>
      </c>
      <c r="E350" s="46">
        <v>81.796000000000006</v>
      </c>
    </row>
    <row r="351" spans="1:5" x14ac:dyDescent="0.25">
      <c r="A351" s="44">
        <v>45910</v>
      </c>
      <c r="B351" s="45" t="s">
        <v>192</v>
      </c>
      <c r="C351" s="46">
        <v>160.47999999999999</v>
      </c>
      <c r="D351" s="98">
        <v>30.491</v>
      </c>
      <c r="E351" s="46">
        <v>191.971</v>
      </c>
    </row>
    <row r="352" spans="1:5" x14ac:dyDescent="0.25">
      <c r="A352" s="44">
        <v>45910</v>
      </c>
      <c r="B352" s="45" t="s">
        <v>3</v>
      </c>
      <c r="C352" s="46">
        <v>4414.6139999999996</v>
      </c>
      <c r="D352" s="98">
        <v>602.15499999999997</v>
      </c>
      <c r="E352" s="46">
        <v>5016.7690000000002</v>
      </c>
    </row>
    <row r="353" spans="1:5" x14ac:dyDescent="0.25">
      <c r="A353" s="44">
        <v>45911</v>
      </c>
      <c r="B353" s="45" t="s">
        <v>54</v>
      </c>
      <c r="C353" s="46">
        <v>177.12</v>
      </c>
      <c r="D353" s="98">
        <v>30.98</v>
      </c>
      <c r="E353" s="46">
        <v>213</v>
      </c>
    </row>
    <row r="354" spans="1:5" x14ac:dyDescent="0.25">
      <c r="A354" s="100"/>
      <c r="B354" s="80"/>
      <c r="C354" s="101"/>
      <c r="D354" s="102"/>
      <c r="E354" s="101"/>
    </row>
    <row r="355" spans="1:5" x14ac:dyDescent="0.25">
      <c r="A355" s="100"/>
      <c r="B355" s="80"/>
      <c r="C355" s="101"/>
      <c r="D355" s="102"/>
      <c r="E355" s="101"/>
    </row>
    <row r="356" spans="1:5" x14ac:dyDescent="0.25">
      <c r="A356" s="44"/>
      <c r="B356" s="45"/>
      <c r="C356" s="46"/>
      <c r="D356" s="84"/>
      <c r="E356" s="46"/>
    </row>
    <row r="357" spans="1:5" x14ac:dyDescent="0.25">
      <c r="A357" s="44"/>
      <c r="B357" s="45"/>
      <c r="C357" s="46"/>
      <c r="D357" s="84"/>
      <c r="E357" s="46"/>
    </row>
    <row r="358" spans="1:5" x14ac:dyDescent="0.25">
      <c r="A358" s="44"/>
      <c r="B358" s="85"/>
      <c r="C358" s="46"/>
      <c r="D358" s="46"/>
      <c r="E358" s="46"/>
    </row>
    <row r="359" spans="1:5" x14ac:dyDescent="0.25">
      <c r="A359" s="44"/>
      <c r="B359" s="85"/>
      <c r="C359" s="46"/>
      <c r="D359" s="46"/>
      <c r="E359" s="46"/>
    </row>
    <row r="360" spans="1:5" x14ac:dyDescent="0.25">
      <c r="A360" s="44"/>
      <c r="B360" s="85"/>
      <c r="C360" s="46"/>
      <c r="D360" s="46"/>
      <c r="E360" s="46"/>
    </row>
    <row r="361" spans="1:5" x14ac:dyDescent="0.25">
      <c r="A361" s="44"/>
      <c r="B361" s="85"/>
      <c r="C361" s="46"/>
      <c r="D361" s="46"/>
      <c r="E361" s="46"/>
    </row>
    <row r="362" spans="1:5" x14ac:dyDescent="0.25">
      <c r="A362" s="44"/>
      <c r="B362" s="85"/>
      <c r="C362" s="46"/>
      <c r="D362" s="46"/>
      <c r="E362" s="46"/>
    </row>
    <row r="363" spans="1:5" x14ac:dyDescent="0.25">
      <c r="A363" s="44"/>
      <c r="B363" s="85"/>
      <c r="C363" s="46"/>
      <c r="D363" s="46"/>
      <c r="E363" s="46"/>
    </row>
    <row r="364" spans="1:5" x14ac:dyDescent="0.25">
      <c r="A364" s="44"/>
      <c r="B364" s="85"/>
      <c r="C364" s="46"/>
      <c r="D364" s="46"/>
      <c r="E364" s="46"/>
    </row>
  </sheetData>
  <mergeCells count="14">
    <mergeCell ref="A307:E307"/>
    <mergeCell ref="A262:E262"/>
    <mergeCell ref="A225:E225"/>
    <mergeCell ref="A133:E133"/>
    <mergeCell ref="A132:B132"/>
    <mergeCell ref="A188:E188"/>
    <mergeCell ref="A338:E338"/>
    <mergeCell ref="A80:E80"/>
    <mergeCell ref="A43:E43"/>
    <mergeCell ref="A2:E2"/>
    <mergeCell ref="A41:B42"/>
    <mergeCell ref="C41:C42"/>
    <mergeCell ref="D41:D42"/>
    <mergeCell ref="E41:E42"/>
  </mergeCells>
  <phoneticPr fontId="17" type="noConversion"/>
  <pageMargins left="0.7" right="0.7" top="0.75" bottom="0.75" header="0.3" footer="0.3"/>
  <pageSetup paperSize="9"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ACHAT 2025                   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2025-09-16T12:16:40Z</dcterms:modified>
</cp:coreProperties>
</file>